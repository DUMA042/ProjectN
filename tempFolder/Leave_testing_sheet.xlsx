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jyy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" i="1" l="1"/>
  <c r="H11" i="1"/>
  <c r="R10" i="1"/>
  <c r="H10" i="1"/>
  <c r="R9" i="1"/>
  <c r="H9" i="1"/>
  <c r="R8" i="1"/>
  <c r="H8" i="1"/>
  <c r="R7" i="1"/>
  <c r="H7" i="1"/>
  <c r="R6" i="1"/>
  <c r="H6" i="1"/>
  <c r="R5" i="1"/>
  <c r="H5" i="1"/>
  <c r="R4" i="1"/>
  <c r="H4" i="1"/>
  <c r="A4" i="1"/>
  <c r="A5" i="1" s="1"/>
  <c r="A6" i="1" s="1"/>
  <c r="A7" i="1" s="1"/>
  <c r="A8" i="1" s="1"/>
  <c r="A9" i="1" s="1"/>
  <c r="A10" i="1" s="1"/>
  <c r="A11" i="1" s="1"/>
  <c r="R3" i="1"/>
  <c r="H3" i="1"/>
</calcChain>
</file>

<file path=xl/sharedStrings.xml><?xml version="1.0" encoding="utf-8"?>
<sst xmlns="http://schemas.openxmlformats.org/spreadsheetml/2006/main" count="91" uniqueCount="55">
  <si>
    <t>PRE- RETIREMENT LEAVE</t>
  </si>
  <si>
    <t>CASUAL BEFORE ANNUAL</t>
  </si>
  <si>
    <t>CASUAL AFTER ANNUAL</t>
  </si>
  <si>
    <t>COMPASSIONATE LEAVE</t>
  </si>
  <si>
    <t>PATERNITY LEAVE</t>
  </si>
  <si>
    <t>SICK LEAVE</t>
  </si>
  <si>
    <t>EXAM LEAVE</t>
  </si>
  <si>
    <t>SUMMARY</t>
  </si>
  <si>
    <t>STAFF FILE</t>
  </si>
  <si>
    <t>S/N</t>
  </si>
  <si>
    <t>NAMES</t>
  </si>
  <si>
    <t>STAFF ID</t>
  </si>
  <si>
    <t>GL</t>
  </si>
  <si>
    <t>DESIGNATION</t>
  </si>
  <si>
    <t>LOCATION</t>
  </si>
  <si>
    <t>PROPOSED LEAVE DATE</t>
  </si>
  <si>
    <t>RESUMPTION DATE</t>
  </si>
  <si>
    <t>START DATE</t>
  </si>
  <si>
    <t xml:space="preserve">END DATE </t>
  </si>
  <si>
    <t>DURATION</t>
  </si>
  <si>
    <t>END DATE</t>
  </si>
  <si>
    <t>PART ANNUAL</t>
  </si>
  <si>
    <t>ANNUAL LEAVE BALANCE</t>
  </si>
  <si>
    <t>FORFEITURE</t>
  </si>
  <si>
    <t xml:space="preserve">START DATE </t>
  </si>
  <si>
    <t>MATERNITY LEAVE</t>
  </si>
  <si>
    <t>LEAVE TYPE</t>
  </si>
  <si>
    <t>STATUS</t>
  </si>
  <si>
    <t>UPDATE</t>
  </si>
  <si>
    <t>ISSUANCE DATE</t>
  </si>
  <si>
    <t>REMARK</t>
  </si>
  <si>
    <t>DR. MOBEREOLA ANTHONY EKUNDAYO</t>
  </si>
  <si>
    <t>DG/CEO</t>
  </si>
  <si>
    <t>DG's Office</t>
  </si>
  <si>
    <t>CASUAL</t>
  </si>
  <si>
    <t>OBIANYOR NNEKA O. (MRS.)</t>
  </si>
  <si>
    <t>SA-DG</t>
  </si>
  <si>
    <t>IN</t>
  </si>
  <si>
    <t>ENGR. AHMED YUSUF OLATUNJI</t>
  </si>
  <si>
    <t>SA-DG (Administration and Operations)</t>
  </si>
  <si>
    <t>ANYAOGU ONWUKWE OGBONNA</t>
  </si>
  <si>
    <t>AD/Technical Assistant</t>
  </si>
  <si>
    <t>OUT</t>
  </si>
  <si>
    <t>AMODU MUSA YAKUBU</t>
  </si>
  <si>
    <t>Principal Executive Officer I</t>
  </si>
  <si>
    <t>ANNUAL</t>
  </si>
  <si>
    <t>TREATED</t>
  </si>
  <si>
    <t>AKINMURELE OMOBOLA OREOLUWA</t>
  </si>
  <si>
    <t>PLO/Technical Assistant</t>
  </si>
  <si>
    <t>ABDALLAH NURU IDI</t>
  </si>
  <si>
    <t>PITO/Technical Assistant</t>
  </si>
  <si>
    <t>NDUKWE C. IKENNA</t>
  </si>
  <si>
    <t>FALOORE OLUWAYINKA PETER</t>
  </si>
  <si>
    <t>CCO</t>
  </si>
  <si>
    <t xml:space="preserve">ANNUAL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</si>
</sst>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&quot;-&quot;mmm&quot;-&quot;yyyy"/>
  </numFmts>
  <fonts count="12">
    <font>
      <sz val="11"/>
      <color theme="1"/>
      <name val="Calibri"/>
      <family val="2"/>
      <charset val="1"/>
      <scheme val="minor"/>
    </font>
    <font>
      <b/>
      <sz val="11"/>
      <color theme="0"/>
      <name val="Calibri"/>
    </font>
    <font>
      <b/>
      <sz val="12"/>
      <color rgb="FFFFFFFF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FFFFFF"/>
      <name val="Calibri"/>
      <scheme val="minor"/>
    </font>
    <font>
      <b/>
      <sz val="11"/>
      <color theme="1"/>
      <name val="Calibri"/>
    </font>
    <font>
      <sz val="11"/>
      <color rgb="FF000000"/>
      <name val="Consolas"/>
    </font>
    <font>
      <sz val="11"/>
      <color theme="1"/>
      <name val="Calibri"/>
    </font>
    <font>
      <sz val="9"/>
      <color rgb="FF000000"/>
      <name val="&quot;Google Sans Mono&quot;"/>
    </font>
    <font>
      <sz val="11"/>
      <color rgb="FF000000"/>
      <name val="Calibri"/>
    </font>
    <font>
      <sz val="11"/>
      <color rgb="FF3F3F76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rgb="FFCC0000"/>
        <bgColor rgb="FFCC0000"/>
      </patternFill>
    </fill>
    <fill>
      <patternFill patternType="solid">
        <fgColor rgb="FFFFC000"/>
        <bgColor rgb="FFFFC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1" fontId="1" fillId="2" borderId="1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left" wrapText="1"/>
    </xf>
    <xf numFmtId="164" fontId="1" fillId="2" borderId="3" xfId="0" applyNumberFormat="1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4" fillId="3" borderId="1" xfId="0" applyFont="1" applyFill="1" applyBorder="1" applyAlignment="1">
      <alignment horizontal="center"/>
    </xf>
    <xf numFmtId="0" fontId="3" fillId="0" borderId="2" xfId="0" applyFont="1" applyBorder="1"/>
    <xf numFmtId="0" fontId="4" fillId="3" borderId="4" xfId="0" applyFont="1" applyFill="1" applyBorder="1" applyAlignment="1">
      <alignment horizontal="center" wrapText="1"/>
    </xf>
    <xf numFmtId="0" fontId="3" fillId="0" borderId="5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1" fillId="4" borderId="6" xfId="0" applyNumberFormat="1" applyFont="1" applyFill="1" applyBorder="1" applyAlignment="1">
      <alignment horizontal="center" wrapText="1"/>
    </xf>
    <xf numFmtId="164" fontId="1" fillId="2" borderId="6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7" xfId="0" applyFont="1" applyBorder="1"/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1" fontId="4" fillId="2" borderId="7" xfId="0" applyNumberFormat="1" applyFont="1" applyFill="1" applyBorder="1" applyAlignment="1">
      <alignment horizontal="right" wrapText="1"/>
    </xf>
    <xf numFmtId="49" fontId="4" fillId="2" borderId="8" xfId="0" applyNumberFormat="1" applyFont="1" applyFill="1" applyBorder="1" applyAlignment="1">
      <alignment horizontal="center" wrapText="1"/>
    </xf>
    <xf numFmtId="1" fontId="5" fillId="2" borderId="0" xfId="0" applyNumberFormat="1" applyFont="1" applyFill="1" applyAlignment="1"/>
    <xf numFmtId="1" fontId="4" fillId="2" borderId="8" xfId="0" applyNumberFormat="1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center" wrapText="1"/>
    </xf>
    <xf numFmtId="164" fontId="4" fillId="3" borderId="4" xfId="0" applyNumberFormat="1" applyFont="1" applyFill="1" applyBorder="1" applyAlignment="1">
      <alignment horizontal="center" wrapText="1"/>
    </xf>
    <xf numFmtId="1" fontId="4" fillId="3" borderId="4" xfId="0" applyNumberFormat="1" applyFont="1" applyFill="1" applyBorder="1" applyAlignment="1">
      <alignment horizontal="center" wrapText="1"/>
    </xf>
    <xf numFmtId="1" fontId="1" fillId="3" borderId="4" xfId="0" applyNumberFormat="1" applyFont="1" applyFill="1" applyBorder="1" applyAlignment="1">
      <alignment horizontal="center" wrapText="1"/>
    </xf>
    <xf numFmtId="164" fontId="4" fillId="4" borderId="4" xfId="0" applyNumberFormat="1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164" fontId="4" fillId="2" borderId="6" xfId="0" applyNumberFormat="1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1" fontId="6" fillId="0" borderId="6" xfId="0" applyNumberFormat="1" applyFont="1" applyBorder="1" applyAlignment="1">
      <alignment horizontal="right"/>
    </xf>
    <xf numFmtId="49" fontId="7" fillId="0" borderId="6" xfId="0" applyNumberFormat="1" applyFont="1" applyBorder="1" applyAlignment="1">
      <alignment horizontal="left" vertical="top"/>
    </xf>
    <xf numFmtId="1" fontId="7" fillId="0" borderId="6" xfId="0" applyNumberFormat="1" applyFont="1" applyBorder="1" applyAlignment="1">
      <alignment horizontal="center" vertical="top"/>
    </xf>
    <xf numFmtId="1" fontId="7" fillId="0" borderId="3" xfId="0" applyNumberFormat="1" applyFont="1" applyBorder="1" applyAlignment="1">
      <alignment horizontal="center" vertical="top"/>
    </xf>
    <xf numFmtId="0" fontId="7" fillId="5" borderId="3" xfId="0" applyFont="1" applyFill="1" applyBorder="1" applyAlignment="1">
      <alignment horizontal="left" vertical="top"/>
    </xf>
    <xf numFmtId="0" fontId="7" fillId="6" borderId="3" xfId="0" applyFont="1" applyFill="1" applyBorder="1" applyAlignment="1">
      <alignment vertical="top"/>
    </xf>
    <xf numFmtId="164" fontId="8" fillId="0" borderId="6" xfId="0" applyNumberFormat="1" applyFont="1" applyBorder="1" applyAlignment="1">
      <alignment horizontal="left"/>
    </xf>
    <xf numFmtId="164" fontId="9" fillId="7" borderId="6" xfId="0" applyNumberFormat="1" applyFont="1" applyFill="1" applyBorder="1" applyAlignment="1">
      <alignment horizontal="left"/>
    </xf>
    <xf numFmtId="164" fontId="6" fillId="8" borderId="6" xfId="0" applyNumberFormat="1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164" fontId="6" fillId="9" borderId="6" xfId="0" applyNumberFormat="1" applyFont="1" applyFill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164" fontId="6" fillId="8" borderId="6" xfId="0" applyNumberFormat="1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10" borderId="6" xfId="0" applyFont="1" applyFill="1" applyBorder="1" applyAlignment="1">
      <alignment horizontal="left"/>
    </xf>
    <xf numFmtId="49" fontId="7" fillId="0" borderId="8" xfId="0" applyNumberFormat="1" applyFont="1" applyBorder="1" applyAlignment="1">
      <alignment horizontal="left" vertical="top"/>
    </xf>
    <xf numFmtId="1" fontId="7" fillId="0" borderId="8" xfId="0" applyNumberFormat="1" applyFont="1" applyBorder="1" applyAlignment="1">
      <alignment horizontal="center" vertical="top"/>
    </xf>
    <xf numFmtId="1" fontId="7" fillId="0" borderId="7" xfId="0" applyNumberFormat="1" applyFont="1" applyBorder="1" applyAlignment="1">
      <alignment horizontal="center" vertical="top"/>
    </xf>
    <xf numFmtId="0" fontId="7" fillId="5" borderId="7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vertical="top"/>
    </xf>
    <xf numFmtId="164" fontId="8" fillId="8" borderId="6" xfId="0" applyNumberFormat="1" applyFont="1" applyFill="1" applyBorder="1" applyAlignment="1">
      <alignment horizontal="center"/>
    </xf>
    <xf numFmtId="164" fontId="8" fillId="9" borderId="6" xfId="0" applyNumberFormat="1" applyFont="1" applyFill="1" applyBorder="1" applyAlignment="1">
      <alignment horizontal="center"/>
    </xf>
    <xf numFmtId="164" fontId="6" fillId="0" borderId="6" xfId="0" applyNumberFormat="1" applyFont="1" applyBorder="1" applyAlignment="1">
      <alignment horizontal="center" wrapText="1"/>
    </xf>
    <xf numFmtId="14" fontId="8" fillId="0" borderId="6" xfId="0" applyNumberFormat="1" applyFont="1" applyBorder="1" applyAlignment="1">
      <alignment horizontal="center"/>
    </xf>
    <xf numFmtId="49" fontId="7" fillId="11" borderId="6" xfId="0" applyNumberFormat="1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 vertical="top"/>
    </xf>
    <xf numFmtId="0" fontId="8" fillId="9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"/>
  <sheetViews>
    <sheetView tabSelected="1" workbookViewId="0">
      <selection activeCell="F2" sqref="F2"/>
    </sheetView>
  </sheetViews>
  <sheetFormatPr defaultRowHeight="15"/>
  <sheetData>
    <row r="1" spans="1:39" ht="30">
      <c r="A1" s="1"/>
      <c r="B1" s="2"/>
      <c r="C1" s="3"/>
      <c r="D1" s="3"/>
      <c r="E1" s="2"/>
      <c r="F1" s="2"/>
      <c r="G1" s="4"/>
      <c r="H1" s="5"/>
      <c r="I1" s="6" t="s">
        <v>0</v>
      </c>
      <c r="J1" s="7"/>
      <c r="K1" s="8" t="s">
        <v>1</v>
      </c>
      <c r="L1" s="9"/>
      <c r="M1" s="7"/>
      <c r="N1" s="10" t="s">
        <v>2</v>
      </c>
      <c r="O1" s="11"/>
      <c r="P1" s="11"/>
      <c r="Q1" s="12"/>
      <c r="R1" s="13"/>
      <c r="S1" s="14"/>
      <c r="T1" s="15"/>
      <c r="U1" s="15"/>
      <c r="V1" s="16"/>
      <c r="W1" s="17" t="s">
        <v>3</v>
      </c>
      <c r="X1" s="18"/>
      <c r="Y1" s="19" t="s">
        <v>4</v>
      </c>
      <c r="Z1" s="9"/>
      <c r="AA1" s="7"/>
      <c r="AB1" s="16"/>
      <c r="AC1" s="16"/>
      <c r="AD1" s="17" t="s">
        <v>5</v>
      </c>
      <c r="AE1" s="18"/>
      <c r="AF1" s="16"/>
      <c r="AG1" s="17" t="s">
        <v>6</v>
      </c>
      <c r="AH1" s="18"/>
      <c r="AI1" s="20" t="s">
        <v>7</v>
      </c>
      <c r="AJ1" s="7"/>
      <c r="AK1" s="21"/>
      <c r="AL1" s="21"/>
      <c r="AM1" s="22" t="s">
        <v>8</v>
      </c>
    </row>
    <row r="2" spans="1:39" ht="45">
      <c r="A2" s="23" t="s">
        <v>9</v>
      </c>
      <c r="B2" s="24" t="s">
        <v>10</v>
      </c>
      <c r="C2" s="25" t="s">
        <v>11</v>
      </c>
      <c r="D2" s="26" t="s">
        <v>12</v>
      </c>
      <c r="E2" s="27" t="s">
        <v>13</v>
      </c>
      <c r="F2" s="27" t="s">
        <v>14</v>
      </c>
      <c r="G2" s="27" t="s">
        <v>15</v>
      </c>
      <c r="H2" s="27" t="s">
        <v>16</v>
      </c>
      <c r="I2" s="28" t="s">
        <v>17</v>
      </c>
      <c r="J2" s="28" t="s">
        <v>18</v>
      </c>
      <c r="K2" s="28" t="s">
        <v>19</v>
      </c>
      <c r="L2" s="28" t="s">
        <v>17</v>
      </c>
      <c r="M2" s="29" t="s">
        <v>20</v>
      </c>
      <c r="N2" s="28" t="s">
        <v>19</v>
      </c>
      <c r="O2" s="28" t="s">
        <v>17</v>
      </c>
      <c r="P2" s="28" t="s">
        <v>20</v>
      </c>
      <c r="Q2" s="30" t="s">
        <v>21</v>
      </c>
      <c r="R2" s="31" t="s">
        <v>22</v>
      </c>
      <c r="S2" s="32" t="s">
        <v>23</v>
      </c>
      <c r="T2" s="22" t="s">
        <v>24</v>
      </c>
      <c r="U2" s="22" t="s">
        <v>20</v>
      </c>
      <c r="V2" s="33" t="s">
        <v>3</v>
      </c>
      <c r="W2" s="33" t="s">
        <v>24</v>
      </c>
      <c r="X2" s="33" t="s">
        <v>20</v>
      </c>
      <c r="Y2" s="22" t="s">
        <v>4</v>
      </c>
      <c r="Z2" s="34" t="s">
        <v>17</v>
      </c>
      <c r="AA2" s="34" t="s">
        <v>20</v>
      </c>
      <c r="AB2" s="35" t="s">
        <v>25</v>
      </c>
      <c r="AC2" s="33" t="s">
        <v>5</v>
      </c>
      <c r="AD2" s="33" t="s">
        <v>17</v>
      </c>
      <c r="AE2" s="33" t="s">
        <v>20</v>
      </c>
      <c r="AF2" s="33" t="s">
        <v>6</v>
      </c>
      <c r="AG2" s="33" t="s">
        <v>17</v>
      </c>
      <c r="AH2" s="33" t="s">
        <v>20</v>
      </c>
      <c r="AI2" s="27" t="s">
        <v>26</v>
      </c>
      <c r="AJ2" s="33" t="s">
        <v>27</v>
      </c>
      <c r="AK2" s="21" t="s">
        <v>28</v>
      </c>
      <c r="AL2" s="21" t="s">
        <v>29</v>
      </c>
      <c r="AM2" s="22" t="s">
        <v>30</v>
      </c>
    </row>
    <row r="3" spans="1:39">
      <c r="A3" s="36">
        <v>1</v>
      </c>
      <c r="B3" s="37" t="s">
        <v>31</v>
      </c>
      <c r="C3" s="38">
        <v>3040</v>
      </c>
      <c r="D3" s="39"/>
      <c r="E3" s="40" t="s">
        <v>32</v>
      </c>
      <c r="F3" s="41" t="s">
        <v>33</v>
      </c>
      <c r="G3" s="42"/>
      <c r="H3" s="43">
        <f t="shared" ref="H3:H4" si="0">G3+(42-L3)</f>
        <v>-45645</v>
      </c>
      <c r="I3" s="44"/>
      <c r="J3" s="44"/>
      <c r="K3" s="45">
        <v>5</v>
      </c>
      <c r="L3" s="46">
        <v>45687</v>
      </c>
      <c r="M3" s="46">
        <v>45693</v>
      </c>
      <c r="N3" s="44"/>
      <c r="O3" s="44"/>
      <c r="P3" s="44"/>
      <c r="Q3" s="47"/>
      <c r="R3" s="48">
        <f t="shared" ref="R3:R11" si="1">30-K3-Q3-S3</f>
        <v>25</v>
      </c>
      <c r="S3" s="49"/>
      <c r="T3" s="50"/>
      <c r="U3" s="50"/>
      <c r="V3" s="51"/>
      <c r="W3" s="44"/>
      <c r="X3" s="44"/>
      <c r="Y3" s="52"/>
      <c r="Z3" s="44"/>
      <c r="AA3" s="44"/>
      <c r="AB3" s="52"/>
      <c r="AC3" s="53"/>
      <c r="AD3" s="44"/>
      <c r="AE3" s="44"/>
      <c r="AF3" s="52"/>
      <c r="AG3" s="44"/>
      <c r="AH3" s="44"/>
      <c r="AI3" s="54" t="s">
        <v>34</v>
      </c>
      <c r="AJ3" s="54"/>
      <c r="AK3" s="52"/>
      <c r="AL3" s="52"/>
      <c r="AM3" s="52"/>
    </row>
    <row r="4" spans="1:39">
      <c r="A4" s="36">
        <f t="shared" ref="A4:A11" si="2">A3+1</f>
        <v>2</v>
      </c>
      <c r="B4" s="55" t="s">
        <v>35</v>
      </c>
      <c r="C4" s="56">
        <v>917</v>
      </c>
      <c r="D4" s="57">
        <v>16</v>
      </c>
      <c r="E4" s="58" t="s">
        <v>36</v>
      </c>
      <c r="F4" s="59" t="s">
        <v>33</v>
      </c>
      <c r="G4" s="42">
        <v>46013</v>
      </c>
      <c r="H4" s="43">
        <f t="shared" si="0"/>
        <v>46055</v>
      </c>
      <c r="I4" s="60"/>
      <c r="J4" s="60"/>
      <c r="K4" s="61"/>
      <c r="L4" s="61"/>
      <c r="M4" s="61"/>
      <c r="N4" s="60"/>
      <c r="O4" s="60"/>
      <c r="P4" s="60"/>
      <c r="Q4" s="48">
        <v>15</v>
      </c>
      <c r="R4" s="48">
        <f t="shared" si="1"/>
        <v>15</v>
      </c>
      <c r="S4" s="62"/>
      <c r="T4" s="60">
        <v>46118</v>
      </c>
      <c r="U4" s="60">
        <v>46132</v>
      </c>
      <c r="V4" s="51"/>
      <c r="W4" s="60"/>
      <c r="X4" s="60"/>
      <c r="Y4" s="53"/>
      <c r="Z4" s="60"/>
      <c r="AA4" s="60"/>
      <c r="AB4" s="53"/>
      <c r="AC4" s="53"/>
      <c r="AD4" s="60"/>
      <c r="AE4" s="60"/>
      <c r="AF4" s="53"/>
      <c r="AG4" s="60"/>
      <c r="AH4" s="60"/>
      <c r="AI4" s="54" t="s">
        <v>21</v>
      </c>
      <c r="AJ4" s="54"/>
      <c r="AK4" s="53">
        <v>1</v>
      </c>
      <c r="AL4" s="63">
        <v>46108</v>
      </c>
      <c r="AM4" s="53" t="s">
        <v>37</v>
      </c>
    </row>
    <row r="5" spans="1:39">
      <c r="A5" s="36">
        <f t="shared" si="2"/>
        <v>3</v>
      </c>
      <c r="B5" s="64" t="s">
        <v>38</v>
      </c>
      <c r="C5" s="56">
        <v>3042</v>
      </c>
      <c r="D5" s="57">
        <v>16</v>
      </c>
      <c r="E5" s="65" t="s">
        <v>39</v>
      </c>
      <c r="F5" s="66" t="s">
        <v>33</v>
      </c>
      <c r="G5" s="42">
        <v>45910</v>
      </c>
      <c r="H5" s="43">
        <f>G5+(42-K5)</f>
        <v>45952</v>
      </c>
      <c r="I5" s="60"/>
      <c r="J5" s="60"/>
      <c r="K5" s="61"/>
      <c r="L5" s="61"/>
      <c r="M5" s="61"/>
      <c r="N5" s="60"/>
      <c r="O5" s="60"/>
      <c r="P5" s="60"/>
      <c r="Q5" s="48"/>
      <c r="R5" s="48">
        <f t="shared" si="1"/>
        <v>30</v>
      </c>
      <c r="S5" s="62"/>
      <c r="T5" s="60"/>
      <c r="U5" s="60"/>
      <c r="V5" s="51"/>
      <c r="W5" s="60"/>
      <c r="X5" s="60"/>
      <c r="Y5" s="53"/>
      <c r="Z5" s="60"/>
      <c r="AA5" s="60"/>
      <c r="AB5" s="53"/>
      <c r="AC5" s="53"/>
      <c r="AD5" s="60"/>
      <c r="AE5" s="60"/>
      <c r="AF5" s="53"/>
      <c r="AG5" s="60"/>
      <c r="AH5" s="60"/>
      <c r="AI5" s="54"/>
      <c r="AJ5" s="54"/>
      <c r="AK5" s="53"/>
      <c r="AL5" s="53"/>
      <c r="AM5" s="53"/>
    </row>
    <row r="6" spans="1:39">
      <c r="A6" s="36">
        <f t="shared" si="2"/>
        <v>4</v>
      </c>
      <c r="B6" s="55" t="s">
        <v>40</v>
      </c>
      <c r="C6" s="56">
        <v>1168</v>
      </c>
      <c r="D6" s="57">
        <v>15</v>
      </c>
      <c r="E6" s="58" t="s">
        <v>41</v>
      </c>
      <c r="F6" s="66" t="s">
        <v>33</v>
      </c>
      <c r="G6" s="42">
        <v>46013</v>
      </c>
      <c r="H6" s="43">
        <f t="shared" ref="H6:H11" si="3">G6+(42-L6)</f>
        <v>46055</v>
      </c>
      <c r="I6" s="60"/>
      <c r="J6" s="60"/>
      <c r="K6" s="61"/>
      <c r="L6" s="61"/>
      <c r="M6" s="61"/>
      <c r="N6" s="60"/>
      <c r="O6" s="60"/>
      <c r="P6" s="60"/>
      <c r="Q6" s="48">
        <v>15</v>
      </c>
      <c r="R6" s="48">
        <f t="shared" si="1"/>
        <v>15</v>
      </c>
      <c r="S6" s="62"/>
      <c r="T6" s="60">
        <v>46013</v>
      </c>
      <c r="U6" s="60">
        <v>46034</v>
      </c>
      <c r="V6" s="51"/>
      <c r="W6" s="60"/>
      <c r="X6" s="60"/>
      <c r="Y6" s="53"/>
      <c r="Z6" s="60"/>
      <c r="AA6" s="60"/>
      <c r="AB6" s="53"/>
      <c r="AC6" s="53"/>
      <c r="AD6" s="60"/>
      <c r="AE6" s="60"/>
      <c r="AF6" s="53"/>
      <c r="AG6" s="60"/>
      <c r="AH6" s="60"/>
      <c r="AI6" s="54" t="s">
        <v>21</v>
      </c>
      <c r="AJ6" s="54"/>
      <c r="AK6" s="53">
        <v>1</v>
      </c>
      <c r="AL6" s="53"/>
      <c r="AM6" s="53" t="s">
        <v>42</v>
      </c>
    </row>
    <row r="7" spans="1:39">
      <c r="A7" s="36">
        <f t="shared" si="2"/>
        <v>5</v>
      </c>
      <c r="B7" s="55" t="s">
        <v>43</v>
      </c>
      <c r="C7" s="56">
        <v>1282</v>
      </c>
      <c r="D7" s="57">
        <v>12</v>
      </c>
      <c r="E7" s="58" t="s">
        <v>44</v>
      </c>
      <c r="F7" s="59" t="s">
        <v>33</v>
      </c>
      <c r="G7" s="42">
        <v>46101</v>
      </c>
      <c r="H7" s="43">
        <f t="shared" si="3"/>
        <v>284</v>
      </c>
      <c r="I7" s="60"/>
      <c r="J7" s="60"/>
      <c r="K7" s="67">
        <v>5</v>
      </c>
      <c r="L7" s="61">
        <v>45859</v>
      </c>
      <c r="M7" s="61">
        <v>45866</v>
      </c>
      <c r="N7" s="60"/>
      <c r="O7" s="60"/>
      <c r="P7" s="60"/>
      <c r="Q7" s="48"/>
      <c r="R7" s="48">
        <f t="shared" si="1"/>
        <v>25</v>
      </c>
      <c r="S7" s="62"/>
      <c r="T7" s="60">
        <v>46101</v>
      </c>
      <c r="U7" s="60">
        <v>46136</v>
      </c>
      <c r="V7" s="51"/>
      <c r="W7" s="60"/>
      <c r="X7" s="60"/>
      <c r="Y7" s="53"/>
      <c r="Z7" s="60"/>
      <c r="AA7" s="60"/>
      <c r="AB7" s="53"/>
      <c r="AC7" s="53"/>
      <c r="AD7" s="60"/>
      <c r="AE7" s="60"/>
      <c r="AF7" s="53"/>
      <c r="AG7" s="60"/>
      <c r="AH7" s="60"/>
      <c r="AI7" s="54" t="s">
        <v>45</v>
      </c>
      <c r="AJ7" s="54" t="s">
        <v>46</v>
      </c>
      <c r="AK7" s="53">
        <v>1</v>
      </c>
      <c r="AL7" s="53"/>
      <c r="AM7" s="53" t="s">
        <v>37</v>
      </c>
    </row>
    <row r="8" spans="1:39">
      <c r="A8" s="36">
        <f t="shared" si="2"/>
        <v>6</v>
      </c>
      <c r="B8" s="55" t="s">
        <v>47</v>
      </c>
      <c r="C8" s="56">
        <v>2438</v>
      </c>
      <c r="D8" s="57">
        <v>12</v>
      </c>
      <c r="E8" s="58" t="s">
        <v>48</v>
      </c>
      <c r="F8" s="59" t="s">
        <v>33</v>
      </c>
      <c r="G8" s="42">
        <v>45777</v>
      </c>
      <c r="H8" s="43">
        <f t="shared" si="3"/>
        <v>45819</v>
      </c>
      <c r="I8" s="60"/>
      <c r="J8" s="60"/>
      <c r="K8" s="61"/>
      <c r="L8" s="61"/>
      <c r="M8" s="61"/>
      <c r="N8" s="60"/>
      <c r="O8" s="60"/>
      <c r="P8" s="60"/>
      <c r="Q8" s="48">
        <v>30</v>
      </c>
      <c r="R8" s="48">
        <f t="shared" si="1"/>
        <v>0</v>
      </c>
      <c r="S8" s="62"/>
      <c r="T8" s="60">
        <v>45902</v>
      </c>
      <c r="U8" s="60">
        <v>45810</v>
      </c>
      <c r="V8" s="51"/>
      <c r="W8" s="60"/>
      <c r="X8" s="60"/>
      <c r="Y8" s="53"/>
      <c r="Z8" s="60"/>
      <c r="AA8" s="60"/>
      <c r="AB8" s="53"/>
      <c r="AC8" s="53"/>
      <c r="AD8" s="60"/>
      <c r="AE8" s="60"/>
      <c r="AF8" s="53"/>
      <c r="AG8" s="60"/>
      <c r="AH8" s="60"/>
      <c r="AI8" s="54" t="s">
        <v>21</v>
      </c>
      <c r="AJ8" s="54"/>
      <c r="AK8" s="53">
        <v>1</v>
      </c>
      <c r="AL8" s="53"/>
      <c r="AM8" s="53"/>
    </row>
    <row r="9" spans="1:39">
      <c r="A9" s="36">
        <f t="shared" si="2"/>
        <v>7</v>
      </c>
      <c r="B9" s="55" t="s">
        <v>49</v>
      </c>
      <c r="C9" s="56">
        <v>2622</v>
      </c>
      <c r="D9" s="57">
        <v>12</v>
      </c>
      <c r="E9" s="58" t="s">
        <v>50</v>
      </c>
      <c r="F9" s="66" t="s">
        <v>33</v>
      </c>
      <c r="G9" s="42">
        <v>46071</v>
      </c>
      <c r="H9" s="43">
        <f t="shared" si="3"/>
        <v>46113</v>
      </c>
      <c r="I9" s="60"/>
      <c r="J9" s="60"/>
      <c r="K9" s="61"/>
      <c r="L9" s="61"/>
      <c r="M9" s="61"/>
      <c r="N9" s="60"/>
      <c r="O9" s="60"/>
      <c r="P9" s="60"/>
      <c r="Q9" s="48"/>
      <c r="R9" s="48">
        <f t="shared" si="1"/>
        <v>30</v>
      </c>
      <c r="S9" s="62"/>
      <c r="T9" s="60">
        <v>46071</v>
      </c>
      <c r="U9" s="60">
        <v>46112</v>
      </c>
      <c r="V9" s="51"/>
      <c r="W9" s="60"/>
      <c r="X9" s="60"/>
      <c r="Y9" s="53">
        <v>14</v>
      </c>
      <c r="Z9" s="60">
        <v>45672</v>
      </c>
      <c r="AA9" s="60">
        <v>45692</v>
      </c>
      <c r="AB9" s="53"/>
      <c r="AC9" s="53"/>
      <c r="AD9" s="60"/>
      <c r="AE9" s="60"/>
      <c r="AF9" s="53"/>
      <c r="AG9" s="60"/>
      <c r="AH9" s="60"/>
      <c r="AI9" s="54" t="s">
        <v>45</v>
      </c>
      <c r="AJ9" s="54"/>
      <c r="AK9" s="53"/>
      <c r="AL9" s="53"/>
      <c r="AM9" s="53"/>
    </row>
    <row r="10" spans="1:39">
      <c r="A10" s="36">
        <f t="shared" si="2"/>
        <v>8</v>
      </c>
      <c r="B10" s="55" t="s">
        <v>51</v>
      </c>
      <c r="C10" s="56">
        <v>1470</v>
      </c>
      <c r="D10" s="57">
        <v>10</v>
      </c>
      <c r="E10" s="58" t="s">
        <v>50</v>
      </c>
      <c r="F10" s="59" t="s">
        <v>33</v>
      </c>
      <c r="G10" s="42">
        <v>46014</v>
      </c>
      <c r="H10" s="43">
        <f t="shared" si="3"/>
        <v>46056</v>
      </c>
      <c r="I10" s="60"/>
      <c r="J10" s="60"/>
      <c r="K10" s="61"/>
      <c r="L10" s="61"/>
      <c r="M10" s="61"/>
      <c r="N10" s="60"/>
      <c r="O10" s="60"/>
      <c r="P10" s="60"/>
      <c r="Q10" s="48"/>
      <c r="R10" s="48">
        <f t="shared" si="1"/>
        <v>30</v>
      </c>
      <c r="S10" s="62"/>
      <c r="T10" s="60">
        <v>46014</v>
      </c>
      <c r="U10" s="60">
        <v>46056</v>
      </c>
      <c r="V10" s="51"/>
      <c r="W10" s="60"/>
      <c r="X10" s="60"/>
      <c r="Y10" s="53"/>
      <c r="Z10" s="60"/>
      <c r="AA10" s="60"/>
      <c r="AB10" s="53"/>
      <c r="AC10" s="53"/>
      <c r="AD10" s="60"/>
      <c r="AE10" s="60"/>
      <c r="AF10" s="53"/>
      <c r="AG10" s="60"/>
      <c r="AH10" s="60"/>
      <c r="AI10" s="54" t="s">
        <v>45</v>
      </c>
      <c r="AJ10" s="54" t="s">
        <v>46</v>
      </c>
      <c r="AK10" s="53"/>
      <c r="AL10" s="53"/>
      <c r="AM10" s="53" t="s">
        <v>42</v>
      </c>
    </row>
    <row r="11" spans="1:39">
      <c r="A11" s="36">
        <f t="shared" si="2"/>
        <v>9</v>
      </c>
      <c r="B11" s="55" t="s">
        <v>52</v>
      </c>
      <c r="C11" s="56">
        <v>1494</v>
      </c>
      <c r="D11" s="57">
        <v>7</v>
      </c>
      <c r="E11" s="58" t="s">
        <v>53</v>
      </c>
      <c r="F11" s="59" t="s">
        <v>33</v>
      </c>
      <c r="G11" s="42">
        <v>45873</v>
      </c>
      <c r="H11" s="43">
        <f t="shared" si="3"/>
        <v>45915</v>
      </c>
      <c r="I11" s="60"/>
      <c r="J11" s="60"/>
      <c r="K11" s="61"/>
      <c r="L11" s="61"/>
      <c r="M11" s="61"/>
      <c r="N11" s="60"/>
      <c r="O11" s="60"/>
      <c r="P11" s="60"/>
      <c r="Q11" s="48"/>
      <c r="R11" s="48">
        <f t="shared" si="1"/>
        <v>30</v>
      </c>
      <c r="S11" s="62"/>
      <c r="T11" s="60">
        <v>45873</v>
      </c>
      <c r="U11" s="60">
        <v>45915</v>
      </c>
      <c r="V11" s="51"/>
      <c r="W11" s="60"/>
      <c r="X11" s="60"/>
      <c r="Y11" s="53"/>
      <c r="Z11" s="60"/>
      <c r="AA11" s="60"/>
      <c r="AB11" s="53"/>
      <c r="AC11" s="53"/>
      <c r="AD11" s="60"/>
      <c r="AE11" s="60"/>
      <c r="AF11" s="53"/>
      <c r="AG11" s="60"/>
      <c r="AH11" s="60"/>
      <c r="AI11" s="54" t="s">
        <v>54</v>
      </c>
      <c r="AJ11" s="54" t="s">
        <v>46</v>
      </c>
      <c r="AK11" s="53">
        <v>1</v>
      </c>
      <c r="AL11" s="53"/>
      <c r="AM11" s="53" t="s">
        <v>37</v>
      </c>
    </row>
  </sheetData>
  <mergeCells count="8">
    <mergeCell ref="AG1:AH1"/>
    <mergeCell ref="AI1:AJ1"/>
    <mergeCell ref="I1:J1"/>
    <mergeCell ref="K1:M1"/>
    <mergeCell ref="N1:P1"/>
    <mergeCell ref="W1:X1"/>
    <mergeCell ref="Y1:AA1"/>
    <mergeCell ref="AD1:AE1"/>
  </mergeCells>
  <conditionalFormatting sqref="H3:H11">
    <cfRule type="notContainsBlanks" dxfId="1" priority="1">
      <formula>LEN(TRIM(H3))&gt;0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2026-05-03T17:58:39Z</dcterms:created>
  <dcterms:modified xsi:type="dcterms:W3CDTF">2026-05-03T18:01:01Z</dcterms:modified>
</cp:coreProperties>
</file>