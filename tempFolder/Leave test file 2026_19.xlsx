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AttendanceN\tempFolder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8" i="1" l="1"/>
  <c r="H78" i="1"/>
  <c r="R77" i="1"/>
  <c r="H77" i="1"/>
  <c r="R76" i="1"/>
  <c r="H76" i="1"/>
  <c r="R75" i="1"/>
  <c r="H75" i="1"/>
  <c r="R74" i="1"/>
  <c r="H74" i="1"/>
  <c r="R73" i="1"/>
  <c r="H73" i="1"/>
  <c r="R72" i="1"/>
  <c r="H72" i="1"/>
  <c r="R71" i="1"/>
  <c r="H71" i="1"/>
  <c r="R70" i="1"/>
  <c r="H70" i="1"/>
  <c r="R69" i="1"/>
  <c r="H69" i="1"/>
  <c r="R68" i="1"/>
  <c r="H68" i="1"/>
  <c r="R67" i="1"/>
  <c r="H67" i="1"/>
  <c r="R66" i="1"/>
  <c r="H66" i="1"/>
  <c r="R65" i="1"/>
  <c r="H65" i="1"/>
  <c r="R64" i="1"/>
  <c r="H64" i="1"/>
  <c r="R63" i="1"/>
  <c r="H63" i="1"/>
  <c r="R62" i="1"/>
  <c r="H62" i="1"/>
  <c r="R61" i="1"/>
  <c r="H61" i="1"/>
  <c r="R60" i="1"/>
  <c r="H60" i="1"/>
  <c r="R59" i="1"/>
  <c r="H59" i="1"/>
  <c r="R58" i="1"/>
  <c r="H58" i="1"/>
  <c r="R57" i="1"/>
  <c r="H57" i="1"/>
  <c r="R56" i="1"/>
  <c r="H56" i="1"/>
  <c r="R55" i="1"/>
  <c r="H55" i="1"/>
  <c r="R54" i="1"/>
  <c r="H54" i="1"/>
  <c r="R53" i="1"/>
  <c r="H53" i="1"/>
  <c r="R52" i="1"/>
  <c r="H52" i="1"/>
  <c r="R51" i="1"/>
  <c r="H51" i="1"/>
  <c r="R50" i="1"/>
  <c r="H50" i="1"/>
  <c r="R49" i="1"/>
  <c r="H49" i="1"/>
  <c r="R48" i="1"/>
  <c r="H48" i="1"/>
  <c r="R47" i="1"/>
  <c r="H47" i="1"/>
  <c r="R46" i="1"/>
  <c r="H46" i="1"/>
  <c r="R45" i="1"/>
  <c r="H45" i="1"/>
  <c r="R44" i="1"/>
  <c r="H44" i="1"/>
  <c r="R43" i="1"/>
  <c r="H43" i="1"/>
  <c r="R42" i="1"/>
  <c r="H42" i="1"/>
  <c r="R41" i="1"/>
  <c r="H41" i="1"/>
  <c r="R40" i="1"/>
  <c r="H40" i="1"/>
  <c r="R39" i="1"/>
  <c r="H39" i="1"/>
  <c r="R38" i="1"/>
  <c r="H38" i="1"/>
  <c r="R37" i="1"/>
  <c r="H37" i="1"/>
  <c r="R36" i="1"/>
  <c r="H36" i="1"/>
  <c r="R35" i="1"/>
  <c r="H35" i="1"/>
  <c r="R34" i="1"/>
  <c r="H34" i="1"/>
  <c r="R33" i="1"/>
  <c r="H33" i="1"/>
  <c r="R32" i="1"/>
  <c r="H32" i="1"/>
  <c r="R31" i="1"/>
  <c r="H31" i="1"/>
  <c r="R30" i="1"/>
  <c r="H30" i="1"/>
  <c r="R29" i="1"/>
  <c r="H29" i="1"/>
  <c r="R28" i="1"/>
  <c r="H28" i="1"/>
  <c r="R27" i="1"/>
  <c r="H27" i="1"/>
  <c r="R26" i="1"/>
  <c r="H26" i="1"/>
  <c r="R25" i="1"/>
  <c r="H25" i="1"/>
  <c r="R24" i="1"/>
  <c r="H24" i="1"/>
  <c r="R23" i="1"/>
  <c r="H23" i="1"/>
  <c r="R22" i="1"/>
  <c r="H22" i="1"/>
  <c r="R21" i="1"/>
  <c r="H21" i="1"/>
  <c r="R20" i="1"/>
  <c r="H20" i="1"/>
  <c r="R19" i="1"/>
  <c r="H19" i="1"/>
  <c r="R18" i="1"/>
  <c r="H18" i="1"/>
  <c r="R17" i="1"/>
  <c r="H17" i="1"/>
  <c r="R16" i="1"/>
  <c r="H16" i="1"/>
  <c r="R15" i="1"/>
  <c r="H15" i="1"/>
  <c r="R14" i="1"/>
  <c r="H14" i="1"/>
  <c r="R13" i="1"/>
  <c r="H13" i="1"/>
  <c r="R12" i="1"/>
  <c r="H12" i="1"/>
  <c r="R11" i="1"/>
  <c r="H11" i="1"/>
  <c r="R10" i="1"/>
  <c r="H10" i="1"/>
  <c r="R9" i="1"/>
  <c r="H9" i="1"/>
  <c r="R8" i="1"/>
  <c r="H8" i="1"/>
  <c r="R7" i="1"/>
  <c r="H7" i="1"/>
  <c r="R6" i="1"/>
  <c r="H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R5" i="1"/>
  <c r="H5" i="1"/>
  <c r="A5" i="1"/>
  <c r="R4" i="1"/>
  <c r="H4" i="1"/>
  <c r="R3" i="1"/>
  <c r="H3" i="1"/>
</calcChain>
</file>

<file path=xl/sharedStrings.xml><?xml version="1.0" encoding="utf-8"?>
<sst xmlns="http://schemas.openxmlformats.org/spreadsheetml/2006/main" count="350" uniqueCount="158">
  <si>
    <t>PRE- RETIREMENT LEAVE</t>
  </si>
  <si>
    <t>CASUAL BEFORE ANNUAL</t>
  </si>
  <si>
    <t>CASUAL AFTER ANNUAL</t>
  </si>
  <si>
    <t>COMPASSIONATE LEAVE</t>
  </si>
  <si>
    <t>PATERNITY LEAVE</t>
  </si>
  <si>
    <t>SICK LEAVE</t>
  </si>
  <si>
    <t>EXAM LEAVE</t>
  </si>
  <si>
    <t>SUMMARY</t>
  </si>
  <si>
    <t>STAFF FILE</t>
  </si>
  <si>
    <t>S/N</t>
  </si>
  <si>
    <t>NAMES</t>
  </si>
  <si>
    <t>STAFF ID</t>
  </si>
  <si>
    <t>DESIGNATION</t>
  </si>
  <si>
    <t>LOCATION</t>
  </si>
  <si>
    <t>PROPOSED LEAVE DATE</t>
  </si>
  <si>
    <t>RESUMPTION DATE</t>
  </si>
  <si>
    <t>START DATE</t>
  </si>
  <si>
    <t xml:space="preserve">END DATE </t>
  </si>
  <si>
    <t>DURATION</t>
  </si>
  <si>
    <t>END DATE</t>
  </si>
  <si>
    <t>PART ANNUAL</t>
  </si>
  <si>
    <t>ANNUAL LEAVE BALANCE</t>
  </si>
  <si>
    <t>FORFEITURE</t>
  </si>
  <si>
    <t xml:space="preserve">START DATE </t>
  </si>
  <si>
    <t>PARTERNITY LEAVE</t>
  </si>
  <si>
    <t>MATERNITY LEAVE</t>
  </si>
  <si>
    <t>LEAVE TYPE</t>
  </si>
  <si>
    <t>STATUS</t>
  </si>
  <si>
    <t>UPDATE</t>
  </si>
  <si>
    <t>REMARK</t>
  </si>
  <si>
    <t>EREKOSIMA BOMA STELLA</t>
  </si>
  <si>
    <t>Assistant Chief Cabotage Officer</t>
  </si>
  <si>
    <t>Cabotage Services</t>
  </si>
  <si>
    <t>PART-ANNUAL</t>
  </si>
  <si>
    <t>IN</t>
  </si>
  <si>
    <t>IBRAHIM HAMZA MOHAMMED</t>
  </si>
  <si>
    <t>KYARI AMINA</t>
  </si>
  <si>
    <t>Principal Cabotage Officer</t>
  </si>
  <si>
    <t>GAMBARI BOLAKALE MUSTAPHA</t>
  </si>
  <si>
    <t>ANNUAL</t>
  </si>
  <si>
    <t>TREATED</t>
  </si>
  <si>
    <t>HARUNA SYNTYCHE BABA</t>
  </si>
  <si>
    <t>INUWA ABUBAKAR MOHAMMED</t>
  </si>
  <si>
    <t>AUTA BATA DOGARA</t>
  </si>
  <si>
    <t>PETERSIDE ROWLAND IYALLA</t>
  </si>
  <si>
    <t>AMINU MOHAMMED KHALID</t>
  </si>
  <si>
    <t>Senior Cabotage Officer</t>
  </si>
  <si>
    <t>COMPASSIONATE</t>
  </si>
  <si>
    <t>OFEN-IMU GABRIEL OHILEBO</t>
  </si>
  <si>
    <t>Senior Cabotage Enforcement Officer</t>
  </si>
  <si>
    <t>BRAIMOH TARE RUTH</t>
  </si>
  <si>
    <t>CASUAL</t>
  </si>
  <si>
    <t>BARAU ABDULLAHI GAMBASHA</t>
  </si>
  <si>
    <t>ADEMOLA ABISADE EMMANUEL</t>
  </si>
  <si>
    <t>Cabotage Officer I</t>
  </si>
  <si>
    <t>OLATUNJI AYOBAMI</t>
  </si>
  <si>
    <t>EKWOLUGO KINGSLEY EMEKA</t>
  </si>
  <si>
    <t>SANI UMAR FAROUQ</t>
  </si>
  <si>
    <t>AMULA STEPHEN OYINDOUBRA</t>
  </si>
  <si>
    <t>Senior Executive Officer</t>
  </si>
  <si>
    <t>MUHAMMAD MUSLIM HURSO</t>
  </si>
  <si>
    <t>SHEHU BELLO</t>
  </si>
  <si>
    <t>ALHAJI USMAN ADAMU</t>
  </si>
  <si>
    <t>Cabotage Officer II</t>
  </si>
  <si>
    <t>ZAILANI JIBRIL ISMAIL</t>
  </si>
  <si>
    <t>Executive Officer</t>
  </si>
  <si>
    <t>AYODELE ABIODUN AFOLABI</t>
  </si>
  <si>
    <t>EXAM</t>
  </si>
  <si>
    <t>RAMON WASIU ADEWALE</t>
  </si>
  <si>
    <t>JIMOH MOJI A. (MRS.)</t>
  </si>
  <si>
    <t>Director, Administration and Human Resources</t>
  </si>
  <si>
    <t>DAHR's Office</t>
  </si>
  <si>
    <t>NWOSU CHRISTIANA O. (MRS.)</t>
  </si>
  <si>
    <t>Assistant Chief Confidential Secretary</t>
  </si>
  <si>
    <t>AMINU IBRAHIM GONI</t>
  </si>
  <si>
    <t>Administrative Officer II</t>
  </si>
  <si>
    <t>SAKA A. ABOLAJI</t>
  </si>
  <si>
    <t>Chief Clerical Officer</t>
  </si>
  <si>
    <t>OJEDOTUN ADEREMI OPEYEMI</t>
  </si>
  <si>
    <t>7+</t>
  </si>
  <si>
    <t>ODELEYE ADEKUNLE PAUL</t>
  </si>
  <si>
    <t>DDHR</t>
  </si>
  <si>
    <t>DDHR's Office</t>
  </si>
  <si>
    <t>HENA JAMES SINDAMA</t>
  </si>
  <si>
    <t>Assistant Chief Administrative Officer</t>
  </si>
  <si>
    <t>ABE SHIELIBE NWAMAKA (MRS.)</t>
  </si>
  <si>
    <t>DD-HR</t>
  </si>
  <si>
    <t>AHRD</t>
  </si>
  <si>
    <t>OUT</t>
  </si>
  <si>
    <t>ENGR. LAYIWOLA OLANREWAJU AFOLABI</t>
  </si>
  <si>
    <t>AD/Transport and Logistics</t>
  </si>
  <si>
    <t>MOHAMMED JUMMAI MARYAM ABDU (MRS.)</t>
  </si>
  <si>
    <t>AD-Staff Conduct &amp; Performance</t>
  </si>
  <si>
    <t>FANIRAN BOLANLE ABOSEDE (MRS.)</t>
  </si>
  <si>
    <t>Assistant Chief Information Technology Officer - PA-DAHR</t>
  </si>
  <si>
    <t>BANJO TAIWO ELIJAH</t>
  </si>
  <si>
    <t>AD-HR</t>
  </si>
  <si>
    <t>Personnel &amp; Records</t>
  </si>
  <si>
    <t>AJAYIBEMBE OMOWUNMI OMOLARA (MRS.)</t>
  </si>
  <si>
    <t>Chief Administrative Officer</t>
  </si>
  <si>
    <t>MBA AKUDO CHINWE (MISS)</t>
  </si>
  <si>
    <t>OLANREWAJU ASMAU (MRS.)</t>
  </si>
  <si>
    <t>Assistant Chief Administrative Officer (P&amp;R)</t>
  </si>
  <si>
    <t>TIKA PWALUREINO AHOIZA</t>
  </si>
  <si>
    <t>Principal Information Technology Officer</t>
  </si>
  <si>
    <t>ADEYEMI ABDULFATAI DADA</t>
  </si>
  <si>
    <t>NGIGE EZINNE AMAKA</t>
  </si>
  <si>
    <t>Senior Administrative Officer</t>
  </si>
  <si>
    <t>AWAK BADIYA SHEHU</t>
  </si>
  <si>
    <t>Senior Administrative Officer (P&amp;R)</t>
  </si>
  <si>
    <t>EMMANUEL-ALFRED QUEEN NKEIRUKA</t>
  </si>
  <si>
    <t>DUKAS MARYAM AUSTEN</t>
  </si>
  <si>
    <t>HASSAN HUDU</t>
  </si>
  <si>
    <t>Administrative Officer I</t>
  </si>
  <si>
    <t>CASAUL</t>
  </si>
  <si>
    <t>DALTON-OKE ADETOKUNBO AYODEJI</t>
  </si>
  <si>
    <t>Information Technology Officer I</t>
  </si>
  <si>
    <t>Personnel &amp; Records (Access Control)</t>
  </si>
  <si>
    <t>AYUBA MOHAMMED HAYATUDDEEN</t>
  </si>
  <si>
    <t>BALA MOHAMMED</t>
  </si>
  <si>
    <t>OMACHONU HOPE OJOCHEBO</t>
  </si>
  <si>
    <t>NGLASS EYISINBEINYIM EMMANUEL</t>
  </si>
  <si>
    <t>IBRAHIM SA'AD JALO</t>
  </si>
  <si>
    <t>AKINRADEWO AANU TOMIWA</t>
  </si>
  <si>
    <t>BALOGUN EMMANUEL NELSON</t>
  </si>
  <si>
    <t>OSUOYAH BENEDICTA</t>
  </si>
  <si>
    <t>ADEYEMI TOHEEB ADEREMI</t>
  </si>
  <si>
    <t>IBRAHIM BASHIR ALIYU</t>
  </si>
  <si>
    <t>OYADIRAN OLAWUYI SAMUEL</t>
  </si>
  <si>
    <t>Assistant Executive Officer</t>
  </si>
  <si>
    <t>MOHAMMED OTHMAN RAKIYA (MISS)</t>
  </si>
  <si>
    <t>Staff conduct and Performance</t>
  </si>
  <si>
    <t>MUBARAK BASHIR ALI</t>
  </si>
  <si>
    <t>Senior Legal Officer</t>
  </si>
  <si>
    <t>Staff Conduct and Performance</t>
  </si>
  <si>
    <t>OLUWASEUN OLUFUNKE B.(MRS.)</t>
  </si>
  <si>
    <t>Head, Training</t>
  </si>
  <si>
    <t>Training</t>
  </si>
  <si>
    <t>MAHMUD ZUBAIRU</t>
  </si>
  <si>
    <t>AD-Admin</t>
  </si>
  <si>
    <t>ASUQUO JUDITH EYAMBA</t>
  </si>
  <si>
    <t>SIKOKI PRECIOUS IFEANYI</t>
  </si>
  <si>
    <t>BASSEY EYOANWAN MKPANG</t>
  </si>
  <si>
    <t>BASIRU AHMED USMAN</t>
  </si>
  <si>
    <t>PITO (Training)</t>
  </si>
  <si>
    <t>NABENA ALAERE PINAERE</t>
  </si>
  <si>
    <t>Principal Administrative Officer</t>
  </si>
  <si>
    <t>JOHN ADAMS HUSSAINI</t>
  </si>
  <si>
    <t>MUHAMMAD UMAR</t>
  </si>
  <si>
    <t>IWUAGWU OKERE NGOZI ZITA Y.</t>
  </si>
  <si>
    <t>EGBUCHE ADAIBA CHINELO</t>
  </si>
  <si>
    <t>OGUNLESI CECIL DUMEBI (MRS.)</t>
  </si>
  <si>
    <t>ESHINLOKUN-SANNI MARYAM OLUWASEYI</t>
  </si>
  <si>
    <t>NYUWEM ABISOLA OLUWASEUN (MRS.)</t>
  </si>
  <si>
    <t>SICK</t>
  </si>
  <si>
    <t>OZUMBA CHUKWUEBUKA JOHNPAUL</t>
  </si>
  <si>
    <t>BULUS JOSHUA MAPIDA</t>
  </si>
  <si>
    <t>ANAEMENA EMMANUEL EMEKA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</si>
</sst>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&quot;-&quot;mmm&quot;-&quot;yyyy"/>
  </numFmts>
  <fonts count="12">
    <font>
      <sz val="11"/>
      <color theme="1"/>
      <name val="Calibri"/>
      <family val="2"/>
      <charset val="1"/>
      <scheme val="minor"/>
    </font>
    <font>
      <sz val="9"/>
      <color rgb="FF000000"/>
      <name val="&quot;Google Sans Mono&quot;"/>
    </font>
    <font>
      <b/>
      <sz val="11"/>
      <color theme="0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onsolas"/>
      <family val="3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F3F76"/>
      <name val="Calibri"/>
      <family val="2"/>
    </font>
    <font>
      <sz val="11"/>
      <color theme="1"/>
      <name val="Consolas"/>
      <family val="3"/>
    </font>
  </fonts>
  <fills count="1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CC99"/>
        <bgColor rgb="FFFFCC99"/>
      </patternFill>
    </fill>
    <fill>
      <patternFill patternType="solid">
        <fgColor rgb="FF92CDDC"/>
        <bgColor rgb="FF92CDDC"/>
      </patternFill>
    </fill>
    <fill>
      <patternFill patternType="solid">
        <fgColor rgb="FF00B0F0"/>
        <bgColor rgb="FF00B0F0"/>
      </patternFill>
    </fill>
    <fill>
      <patternFill patternType="solid">
        <fgColor rgb="FF5BFFA5"/>
        <bgColor rgb="FF5BFFA5"/>
      </patternFill>
    </fill>
    <fill>
      <patternFill patternType="solid">
        <fgColor rgb="FFFFD5FF"/>
        <bgColor rgb="FFFFD5FF"/>
      </patternFill>
    </fill>
    <fill>
      <patternFill patternType="solid">
        <fgColor rgb="FFFF0000"/>
        <bgColor rgb="FFFF0000"/>
      </patternFill>
    </fill>
    <fill>
      <patternFill patternType="solid">
        <fgColor rgb="FFFF9B9B"/>
        <bgColor rgb="FFFF9B9B"/>
      </patternFill>
    </fill>
    <fill>
      <patternFill patternType="solid">
        <fgColor rgb="FFBFA0F6"/>
        <bgColor rgb="FFBFA0F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1" fillId="7" borderId="4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 wrapText="1"/>
    </xf>
    <xf numFmtId="49" fontId="2" fillId="2" borderId="2" xfId="0" applyNumberFormat="1" applyFont="1" applyFill="1" applyBorder="1" applyAlignment="1">
      <alignment horizontal="center" wrapText="1"/>
    </xf>
    <xf numFmtId="1" fontId="2" fillId="2" borderId="2" xfId="0" applyNumberFormat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left" wrapText="1"/>
    </xf>
    <xf numFmtId="164" fontId="2" fillId="2" borderId="3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1" fontId="4" fillId="2" borderId="7" xfId="0" applyNumberFormat="1" applyFont="1" applyFill="1" applyBorder="1" applyAlignment="1">
      <alignment horizontal="right" wrapText="1"/>
    </xf>
    <xf numFmtId="49" fontId="4" fillId="2" borderId="8" xfId="0" applyNumberFormat="1" applyFont="1" applyFill="1" applyBorder="1" applyAlignment="1">
      <alignment horizontal="center" wrapText="1"/>
    </xf>
    <xf numFmtId="1" fontId="5" fillId="2" borderId="0" xfId="0" applyNumberFormat="1" applyFont="1" applyFill="1" applyAlignment="1"/>
    <xf numFmtId="1" fontId="2" fillId="2" borderId="8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center" wrapText="1"/>
    </xf>
    <xf numFmtId="164" fontId="4" fillId="3" borderId="5" xfId="0" applyNumberFormat="1" applyFont="1" applyFill="1" applyBorder="1" applyAlignment="1">
      <alignment horizontal="center" wrapText="1"/>
    </xf>
    <xf numFmtId="1" fontId="4" fillId="3" borderId="5" xfId="0" applyNumberFormat="1" applyFont="1" applyFill="1" applyBorder="1" applyAlignment="1">
      <alignment horizontal="center" wrapText="1"/>
    </xf>
    <xf numFmtId="1" fontId="2" fillId="3" borderId="5" xfId="0" applyNumberFormat="1" applyFont="1" applyFill="1" applyBorder="1" applyAlignment="1">
      <alignment horizontal="center" wrapText="1"/>
    </xf>
    <xf numFmtId="164" fontId="4" fillId="4" borderId="5" xfId="0" applyNumberFormat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left" vertical="top"/>
    </xf>
    <xf numFmtId="0" fontId="7" fillId="0" borderId="4" xfId="0" applyFont="1" applyBorder="1" applyAlignment="1">
      <alignment horizontal="center" vertical="top"/>
    </xf>
    <xf numFmtId="0" fontId="7" fillId="5" borderId="4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vertical="top"/>
    </xf>
    <xf numFmtId="164" fontId="8" fillId="0" borderId="4" xfId="0" applyNumberFormat="1" applyFont="1" applyBorder="1" applyAlignment="1">
      <alignment horizontal="left"/>
    </xf>
    <xf numFmtId="164" fontId="8" fillId="8" borderId="4" xfId="0" applyNumberFormat="1" applyFont="1" applyFill="1" applyBorder="1" applyAlignment="1">
      <alignment horizontal="center"/>
    </xf>
    <xf numFmtId="164" fontId="6" fillId="8" borderId="4" xfId="0" applyNumberFormat="1" applyFont="1" applyFill="1" applyBorder="1" applyAlignment="1">
      <alignment horizontal="center"/>
    </xf>
    <xf numFmtId="164" fontId="8" fillId="9" borderId="4" xfId="0" applyNumberFormat="1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10" borderId="4" xfId="0" applyFont="1" applyFill="1" applyBorder="1" applyAlignment="1">
      <alignment horizontal="left"/>
    </xf>
    <xf numFmtId="0" fontId="7" fillId="11" borderId="4" xfId="0" applyFont="1" applyFill="1" applyBorder="1" applyAlignment="1">
      <alignment horizontal="left" vertical="top"/>
    </xf>
    <xf numFmtId="0" fontId="7" fillId="11" borderId="4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left" vertical="top"/>
    </xf>
    <xf numFmtId="0" fontId="7" fillId="0" borderId="4" xfId="0" applyFont="1" applyBorder="1" applyAlignment="1">
      <alignment vertical="top"/>
    </xf>
    <xf numFmtId="0" fontId="7" fillId="5" borderId="4" xfId="0" applyFont="1" applyFill="1" applyBorder="1" applyAlignment="1">
      <alignment vertical="top"/>
    </xf>
    <xf numFmtId="0" fontId="8" fillId="9" borderId="4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left" vertical="top"/>
    </xf>
    <xf numFmtId="0" fontId="7" fillId="12" borderId="4" xfId="0" applyFont="1" applyFill="1" applyBorder="1" applyAlignment="1">
      <alignment vertical="top"/>
    </xf>
    <xf numFmtId="0" fontId="7" fillId="13" borderId="4" xfId="0" applyFont="1" applyFill="1" applyBorder="1" applyAlignment="1">
      <alignment horizontal="left" vertical="top"/>
    </xf>
    <xf numFmtId="0" fontId="7" fillId="14" borderId="4" xfId="0" applyFont="1" applyFill="1" applyBorder="1" applyAlignment="1">
      <alignment horizontal="left" vertical="top"/>
    </xf>
    <xf numFmtId="0" fontId="7" fillId="15" borderId="4" xfId="0" applyFont="1" applyFill="1" applyBorder="1" applyAlignment="1">
      <alignment horizontal="left" vertical="top"/>
    </xf>
    <xf numFmtId="0" fontId="7" fillId="6" borderId="9" xfId="0" applyFont="1" applyFill="1" applyBorder="1" applyAlignment="1">
      <alignment vertical="top"/>
    </xf>
    <xf numFmtId="0" fontId="7" fillId="15" borderId="4" xfId="0" applyFont="1" applyFill="1" applyBorder="1" applyAlignment="1">
      <alignment vertical="top"/>
    </xf>
    <xf numFmtId="0" fontId="11" fillId="6" borderId="4" xfId="0" applyFont="1" applyFill="1" applyBorder="1" applyAlignment="1">
      <alignment vertical="top"/>
    </xf>
    <xf numFmtId="0" fontId="7" fillId="16" borderId="4" xfId="0" applyFont="1" applyFill="1" applyBorder="1" applyAlignment="1">
      <alignment horizontal="left" vertical="top"/>
    </xf>
    <xf numFmtId="0" fontId="7" fillId="16" borderId="4" xfId="0" applyFont="1" applyFill="1" applyBorder="1" applyAlignment="1">
      <alignment horizontal="center" vertical="top"/>
    </xf>
    <xf numFmtId="0" fontId="7" fillId="14" borderId="4" xfId="0" applyFont="1" applyFill="1" applyBorder="1" applyAlignment="1">
      <alignment vertical="top"/>
    </xf>
    <xf numFmtId="0" fontId="7" fillId="14" borderId="4" xfId="0" applyFont="1" applyFill="1" applyBorder="1" applyAlignment="1">
      <alignment horizontal="center" vertical="top"/>
    </xf>
    <xf numFmtId="0" fontId="7" fillId="16" borderId="4" xfId="0" applyFont="1" applyFill="1" applyBorder="1" applyAlignment="1">
      <alignment vertical="top"/>
    </xf>
    <xf numFmtId="0" fontId="7" fillId="17" borderId="4" xfId="0" applyFont="1" applyFill="1" applyBorder="1" applyAlignment="1">
      <alignment horizontal="left" vertical="top"/>
    </xf>
    <xf numFmtId="0" fontId="7" fillId="17" borderId="4" xfId="0" applyFont="1" applyFill="1" applyBorder="1" applyAlignment="1">
      <alignment horizontal="center" vertical="top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8"/>
  <sheetViews>
    <sheetView tabSelected="1" workbookViewId="0">
      <selection activeCell="E6" sqref="E6"/>
    </sheetView>
  </sheetViews>
  <sheetFormatPr defaultRowHeight="15"/>
  <sheetData>
    <row r="1" spans="1:38" ht="30">
      <c r="A1" s="2"/>
      <c r="B1" s="3"/>
      <c r="C1" s="4"/>
      <c r="D1" s="4"/>
      <c r="E1" s="3"/>
      <c r="F1" s="3"/>
      <c r="G1" s="5"/>
      <c r="H1" s="6"/>
      <c r="I1" s="7" t="s">
        <v>0</v>
      </c>
      <c r="J1" s="8"/>
      <c r="K1" s="9" t="s">
        <v>1</v>
      </c>
      <c r="L1" s="10"/>
      <c r="M1" s="11"/>
      <c r="N1" s="12" t="s">
        <v>2</v>
      </c>
      <c r="O1" s="13"/>
      <c r="P1" s="13"/>
      <c r="Q1" s="14"/>
      <c r="R1" s="15"/>
      <c r="S1" s="16"/>
      <c r="T1" s="17"/>
      <c r="U1" s="17"/>
      <c r="V1" s="18"/>
      <c r="W1" s="19" t="s">
        <v>3</v>
      </c>
      <c r="X1" s="20"/>
      <c r="Y1" s="21" t="s">
        <v>4</v>
      </c>
      <c r="Z1" s="22"/>
      <c r="AA1" s="23"/>
      <c r="AB1" s="18"/>
      <c r="AC1" s="18"/>
      <c r="AD1" s="19" t="s">
        <v>5</v>
      </c>
      <c r="AE1" s="20"/>
      <c r="AF1" s="18"/>
      <c r="AG1" s="19" t="s">
        <v>6</v>
      </c>
      <c r="AH1" s="20"/>
      <c r="AI1" s="21" t="s">
        <v>7</v>
      </c>
      <c r="AJ1" s="23"/>
      <c r="AK1" s="24"/>
      <c r="AL1" s="25" t="s">
        <v>8</v>
      </c>
    </row>
    <row r="2" spans="1:38" ht="45">
      <c r="A2" s="26" t="s">
        <v>9</v>
      </c>
      <c r="B2" s="27" t="s">
        <v>10</v>
      </c>
      <c r="C2" s="28" t="s">
        <v>11</v>
      </c>
      <c r="D2" s="29"/>
      <c r="E2" s="30" t="s">
        <v>12</v>
      </c>
      <c r="F2" s="30" t="s">
        <v>13</v>
      </c>
      <c r="G2" s="30" t="s">
        <v>14</v>
      </c>
      <c r="H2" s="30" t="s">
        <v>15</v>
      </c>
      <c r="I2" s="31" t="s">
        <v>16</v>
      </c>
      <c r="J2" s="31" t="s">
        <v>17</v>
      </c>
      <c r="K2" s="31" t="s">
        <v>18</v>
      </c>
      <c r="L2" s="31" t="s">
        <v>16</v>
      </c>
      <c r="M2" s="32" t="s">
        <v>19</v>
      </c>
      <c r="N2" s="31" t="s">
        <v>18</v>
      </c>
      <c r="O2" s="31" t="s">
        <v>16</v>
      </c>
      <c r="P2" s="31" t="s">
        <v>19</v>
      </c>
      <c r="Q2" s="33" t="s">
        <v>20</v>
      </c>
      <c r="R2" s="34" t="s">
        <v>21</v>
      </c>
      <c r="S2" s="35" t="s">
        <v>22</v>
      </c>
      <c r="T2" s="25" t="s">
        <v>23</v>
      </c>
      <c r="U2" s="25" t="s">
        <v>19</v>
      </c>
      <c r="V2" s="36" t="s">
        <v>3</v>
      </c>
      <c r="W2" s="36" t="s">
        <v>23</v>
      </c>
      <c r="X2" s="36" t="s">
        <v>19</v>
      </c>
      <c r="Y2" s="25" t="s">
        <v>24</v>
      </c>
      <c r="Z2" s="37" t="s">
        <v>16</v>
      </c>
      <c r="AA2" s="37" t="s">
        <v>19</v>
      </c>
      <c r="AB2" s="38" t="s">
        <v>25</v>
      </c>
      <c r="AC2" s="36" t="s">
        <v>5</v>
      </c>
      <c r="AD2" s="36" t="s">
        <v>16</v>
      </c>
      <c r="AE2" s="36" t="s">
        <v>19</v>
      </c>
      <c r="AF2" s="36" t="s">
        <v>6</v>
      </c>
      <c r="AG2" s="36" t="s">
        <v>16</v>
      </c>
      <c r="AH2" s="36" t="s">
        <v>19</v>
      </c>
      <c r="AI2" s="30" t="s">
        <v>26</v>
      </c>
      <c r="AJ2" s="36" t="s">
        <v>27</v>
      </c>
      <c r="AK2" s="24" t="s">
        <v>28</v>
      </c>
      <c r="AL2" s="25" t="s">
        <v>29</v>
      </c>
    </row>
    <row r="3" spans="1:38">
      <c r="A3" s="39">
        <v>1</v>
      </c>
      <c r="B3" s="40" t="s">
        <v>30</v>
      </c>
      <c r="C3" s="41">
        <v>2644</v>
      </c>
      <c r="D3" s="41">
        <v>13</v>
      </c>
      <c r="E3" s="42" t="s">
        <v>31</v>
      </c>
      <c r="F3" s="43" t="s">
        <v>32</v>
      </c>
      <c r="G3" s="44">
        <v>46121</v>
      </c>
      <c r="H3" s="1">
        <f>G3+(42-L3)</f>
        <v>46163</v>
      </c>
      <c r="I3" s="45"/>
      <c r="J3" s="46"/>
      <c r="K3" s="47"/>
      <c r="L3" s="47"/>
      <c r="M3" s="47"/>
      <c r="N3" s="45"/>
      <c r="O3" s="45"/>
      <c r="P3" s="45"/>
      <c r="Q3" s="48">
        <v>20</v>
      </c>
      <c r="R3" s="48">
        <f>30-K3-Q3-S3</f>
        <v>10</v>
      </c>
      <c r="S3" s="49"/>
      <c r="T3" s="45">
        <v>46121</v>
      </c>
      <c r="U3" s="45">
        <v>46149</v>
      </c>
      <c r="V3" s="50"/>
      <c r="W3" s="45"/>
      <c r="X3" s="45"/>
      <c r="Y3" s="51"/>
      <c r="Z3" s="45"/>
      <c r="AA3" s="45"/>
      <c r="AB3" s="52"/>
      <c r="AC3" s="52"/>
      <c r="AD3" s="45"/>
      <c r="AE3" s="45"/>
      <c r="AF3" s="52"/>
      <c r="AG3" s="45"/>
      <c r="AH3" s="46"/>
      <c r="AI3" s="53" t="s">
        <v>33</v>
      </c>
      <c r="AJ3" s="53"/>
      <c r="AK3" s="52">
        <v>1</v>
      </c>
      <c r="AL3" s="52" t="s">
        <v>34</v>
      </c>
    </row>
    <row r="4" spans="1:38" ht="15" customHeight="1">
      <c r="A4" s="39">
        <v>2</v>
      </c>
      <c r="B4" s="54" t="s">
        <v>35</v>
      </c>
      <c r="C4" s="55">
        <v>3043</v>
      </c>
      <c r="D4" s="55">
        <v>13</v>
      </c>
      <c r="E4" s="42" t="s">
        <v>31</v>
      </c>
      <c r="F4" s="56" t="s">
        <v>32</v>
      </c>
      <c r="G4" s="44">
        <v>46356</v>
      </c>
      <c r="H4" s="1">
        <f>G4+(42-L4)</f>
        <v>46398</v>
      </c>
      <c r="I4" s="45"/>
      <c r="J4" s="46"/>
      <c r="K4" s="47"/>
      <c r="L4" s="47"/>
      <c r="M4" s="47"/>
      <c r="N4" s="45"/>
      <c r="O4" s="45"/>
      <c r="P4" s="45"/>
      <c r="Q4" s="48"/>
      <c r="R4" s="48">
        <f>30-K4-Q4-S4</f>
        <v>30</v>
      </c>
      <c r="S4" s="49"/>
      <c r="T4" s="45"/>
      <c r="U4" s="45"/>
      <c r="V4" s="50"/>
      <c r="W4" s="45"/>
      <c r="X4" s="45"/>
      <c r="Y4" s="51"/>
      <c r="Z4" s="45"/>
      <c r="AA4" s="45"/>
      <c r="AB4" s="52"/>
      <c r="AC4" s="52"/>
      <c r="AD4" s="45"/>
      <c r="AE4" s="45"/>
      <c r="AF4" s="52"/>
      <c r="AG4" s="45"/>
      <c r="AH4" s="46"/>
      <c r="AI4" s="53"/>
      <c r="AJ4" s="53"/>
      <c r="AK4" s="52"/>
      <c r="AL4" s="52"/>
    </row>
    <row r="5" spans="1:38">
      <c r="A5" s="39">
        <f>A4+1</f>
        <v>3</v>
      </c>
      <c r="B5" s="57" t="s">
        <v>36</v>
      </c>
      <c r="C5" s="41">
        <v>2943</v>
      </c>
      <c r="D5" s="41">
        <v>12</v>
      </c>
      <c r="E5" s="58" t="s">
        <v>37</v>
      </c>
      <c r="F5" s="43" t="s">
        <v>32</v>
      </c>
      <c r="G5" s="44">
        <v>46300</v>
      </c>
      <c r="H5" s="1">
        <f>G5+(42-L5)</f>
        <v>46342</v>
      </c>
      <c r="I5" s="45"/>
      <c r="J5" s="46"/>
      <c r="K5" s="47"/>
      <c r="L5" s="47"/>
      <c r="M5" s="47"/>
      <c r="N5" s="45"/>
      <c r="O5" s="45"/>
      <c r="P5" s="45"/>
      <c r="Q5" s="48"/>
      <c r="R5" s="48">
        <f>30-K5-Q5-S5</f>
        <v>30</v>
      </c>
      <c r="S5" s="49"/>
      <c r="T5" s="45"/>
      <c r="U5" s="45"/>
      <c r="V5" s="50"/>
      <c r="W5" s="45"/>
      <c r="X5" s="45"/>
      <c r="Y5" s="51"/>
      <c r="Z5" s="45"/>
      <c r="AA5" s="45"/>
      <c r="AB5" s="52"/>
      <c r="AC5" s="52"/>
      <c r="AD5" s="45"/>
      <c r="AE5" s="45"/>
      <c r="AF5" s="52"/>
      <c r="AG5" s="45"/>
      <c r="AH5" s="46"/>
      <c r="AI5" s="53"/>
      <c r="AJ5" s="53"/>
      <c r="AK5" s="52"/>
      <c r="AL5" s="52"/>
    </row>
    <row r="6" spans="1:38">
      <c r="A6" s="39">
        <f>A5+1</f>
        <v>4</v>
      </c>
      <c r="B6" s="57" t="s">
        <v>38</v>
      </c>
      <c r="C6" s="41">
        <v>2965</v>
      </c>
      <c r="D6" s="41">
        <v>12</v>
      </c>
      <c r="E6" s="58" t="s">
        <v>37</v>
      </c>
      <c r="F6" s="43" t="s">
        <v>32</v>
      </c>
      <c r="G6" s="44">
        <v>46083</v>
      </c>
      <c r="H6" s="1">
        <f>G6+(42-K6)</f>
        <v>46125</v>
      </c>
      <c r="I6" s="45"/>
      <c r="J6" s="46"/>
      <c r="K6" s="47"/>
      <c r="L6" s="47"/>
      <c r="M6" s="47"/>
      <c r="N6" s="45"/>
      <c r="O6" s="45"/>
      <c r="P6" s="45"/>
      <c r="Q6" s="48"/>
      <c r="R6" s="48">
        <f>30-K6-Q6-S6</f>
        <v>30</v>
      </c>
      <c r="S6" s="49"/>
      <c r="T6" s="45">
        <v>46083</v>
      </c>
      <c r="U6" s="45">
        <v>46125</v>
      </c>
      <c r="V6" s="50"/>
      <c r="W6" s="45"/>
      <c r="X6" s="45"/>
      <c r="Y6" s="51"/>
      <c r="Z6" s="45"/>
      <c r="AA6" s="45"/>
      <c r="AB6" s="52"/>
      <c r="AC6" s="52"/>
      <c r="AD6" s="45"/>
      <c r="AE6" s="45"/>
      <c r="AF6" s="52"/>
      <c r="AG6" s="45"/>
      <c r="AH6" s="46"/>
      <c r="AI6" s="53" t="s">
        <v>39</v>
      </c>
      <c r="AJ6" s="53" t="s">
        <v>40</v>
      </c>
      <c r="AK6" s="52">
        <v>1</v>
      </c>
      <c r="AL6" s="52" t="s">
        <v>34</v>
      </c>
    </row>
    <row r="7" spans="1:38">
      <c r="A7" s="39">
        <f>A6+1</f>
        <v>5</v>
      </c>
      <c r="B7" s="40" t="s">
        <v>41</v>
      </c>
      <c r="C7" s="41">
        <v>1997</v>
      </c>
      <c r="D7" s="41">
        <v>12</v>
      </c>
      <c r="E7" s="42" t="s">
        <v>37</v>
      </c>
      <c r="F7" s="43" t="s">
        <v>32</v>
      </c>
      <c r="G7" s="44">
        <v>46237</v>
      </c>
      <c r="H7" s="1">
        <f>G7+(42-L7)</f>
        <v>46279</v>
      </c>
      <c r="I7" s="45"/>
      <c r="J7" s="46"/>
      <c r="K7" s="47"/>
      <c r="L7" s="47"/>
      <c r="M7" s="47"/>
      <c r="N7" s="45"/>
      <c r="O7" s="45"/>
      <c r="P7" s="45"/>
      <c r="Q7" s="48"/>
      <c r="R7" s="48">
        <f>30-K7-Q7-S7</f>
        <v>30</v>
      </c>
      <c r="S7" s="49"/>
      <c r="T7" s="45"/>
      <c r="U7" s="45"/>
      <c r="V7" s="50"/>
      <c r="W7" s="45"/>
      <c r="X7" s="45"/>
      <c r="Y7" s="51"/>
      <c r="Z7" s="45"/>
      <c r="AA7" s="45"/>
      <c r="AB7" s="52"/>
      <c r="AC7" s="52"/>
      <c r="AD7" s="45"/>
      <c r="AE7" s="45"/>
      <c r="AF7" s="52"/>
      <c r="AG7" s="45"/>
      <c r="AH7" s="46"/>
      <c r="AI7" s="53"/>
      <c r="AJ7" s="53"/>
      <c r="AK7" s="52"/>
      <c r="AL7" s="52"/>
    </row>
    <row r="8" spans="1:38">
      <c r="A8" s="39">
        <f>A7+1</f>
        <v>6</v>
      </c>
      <c r="B8" s="40" t="s">
        <v>42</v>
      </c>
      <c r="C8" s="41">
        <v>2061</v>
      </c>
      <c r="D8" s="41">
        <v>12</v>
      </c>
      <c r="E8" s="42" t="s">
        <v>37</v>
      </c>
      <c r="F8" s="43" t="s">
        <v>32</v>
      </c>
      <c r="G8" s="44">
        <v>46335</v>
      </c>
      <c r="H8" s="1">
        <f>G8+(42-L8)</f>
        <v>46377</v>
      </c>
      <c r="I8" s="45"/>
      <c r="J8" s="46"/>
      <c r="K8" s="47"/>
      <c r="L8" s="47"/>
      <c r="M8" s="47"/>
      <c r="N8" s="45"/>
      <c r="O8" s="45"/>
      <c r="P8" s="45"/>
      <c r="Q8" s="48"/>
      <c r="R8" s="48">
        <f>30-K8-Q8-S8</f>
        <v>30</v>
      </c>
      <c r="S8" s="49"/>
      <c r="T8" s="45"/>
      <c r="U8" s="45"/>
      <c r="V8" s="50"/>
      <c r="W8" s="45"/>
      <c r="X8" s="45"/>
      <c r="Y8" s="51"/>
      <c r="Z8" s="45"/>
      <c r="AA8" s="45"/>
      <c r="AB8" s="52"/>
      <c r="AC8" s="52"/>
      <c r="AD8" s="45"/>
      <c r="AE8" s="45"/>
      <c r="AF8" s="52"/>
      <c r="AG8" s="45"/>
      <c r="AH8" s="46"/>
      <c r="AI8" s="53"/>
      <c r="AJ8" s="53"/>
      <c r="AK8" s="52"/>
      <c r="AL8" s="52"/>
    </row>
    <row r="9" spans="1:38">
      <c r="A9" s="39">
        <f>A8+1</f>
        <v>7</v>
      </c>
      <c r="B9" s="40" t="s">
        <v>43</v>
      </c>
      <c r="C9" s="41">
        <v>2275</v>
      </c>
      <c r="D9" s="41">
        <v>12</v>
      </c>
      <c r="E9" s="42" t="s">
        <v>37</v>
      </c>
      <c r="F9" s="43" t="s">
        <v>32</v>
      </c>
      <c r="G9" s="44">
        <v>46386</v>
      </c>
      <c r="H9" s="1">
        <f>G9+(42-L9)</f>
        <v>46428</v>
      </c>
      <c r="I9" s="45"/>
      <c r="J9" s="46"/>
      <c r="K9" s="47"/>
      <c r="L9" s="47"/>
      <c r="M9" s="47"/>
      <c r="N9" s="45"/>
      <c r="O9" s="45"/>
      <c r="P9" s="45"/>
      <c r="Q9" s="48"/>
      <c r="R9" s="48">
        <f>30-K9-Q9-S9</f>
        <v>30</v>
      </c>
      <c r="S9" s="49"/>
      <c r="T9" s="45"/>
      <c r="U9" s="45"/>
      <c r="V9" s="50"/>
      <c r="W9" s="45"/>
      <c r="X9" s="45"/>
      <c r="Y9" s="51"/>
      <c r="Z9" s="45"/>
      <c r="AA9" s="45"/>
      <c r="AB9" s="52"/>
      <c r="AC9" s="52"/>
      <c r="AD9" s="45"/>
      <c r="AE9" s="45"/>
      <c r="AF9" s="52"/>
      <c r="AG9" s="45"/>
      <c r="AH9" s="46"/>
      <c r="AI9" s="53"/>
      <c r="AJ9" s="53"/>
      <c r="AK9" s="52"/>
      <c r="AL9" s="52"/>
    </row>
    <row r="10" spans="1:38">
      <c r="A10" s="39">
        <f>A9+1</f>
        <v>8</v>
      </c>
      <c r="B10" s="40" t="s">
        <v>44</v>
      </c>
      <c r="C10" s="41">
        <v>2642</v>
      </c>
      <c r="D10" s="41">
        <v>12</v>
      </c>
      <c r="E10" s="42" t="s">
        <v>37</v>
      </c>
      <c r="F10" s="43" t="s">
        <v>32</v>
      </c>
      <c r="G10" s="44">
        <v>46244</v>
      </c>
      <c r="H10" s="1">
        <f>G10+(42-L10)</f>
        <v>46286</v>
      </c>
      <c r="I10" s="45"/>
      <c r="J10" s="46"/>
      <c r="K10" s="47"/>
      <c r="L10" s="47"/>
      <c r="M10" s="47"/>
      <c r="N10" s="45"/>
      <c r="O10" s="45"/>
      <c r="P10" s="45"/>
      <c r="Q10" s="48"/>
      <c r="R10" s="48">
        <f>30-K10-Q10-S10</f>
        <v>30</v>
      </c>
      <c r="S10" s="49"/>
      <c r="T10" s="45"/>
      <c r="U10" s="45"/>
      <c r="V10" s="50"/>
      <c r="W10" s="45"/>
      <c r="X10" s="45"/>
      <c r="Y10" s="51"/>
      <c r="Z10" s="45"/>
      <c r="AA10" s="45"/>
      <c r="AB10" s="52"/>
      <c r="AC10" s="52"/>
      <c r="AD10" s="45"/>
      <c r="AE10" s="45"/>
      <c r="AF10" s="52"/>
      <c r="AG10" s="45"/>
      <c r="AH10" s="46"/>
      <c r="AI10" s="53"/>
      <c r="AJ10" s="53"/>
      <c r="AK10" s="52"/>
      <c r="AL10" s="52"/>
    </row>
    <row r="11" spans="1:38">
      <c r="A11" s="39">
        <f>A10+1</f>
        <v>9</v>
      </c>
      <c r="B11" s="57" t="s">
        <v>45</v>
      </c>
      <c r="C11" s="41">
        <v>2825</v>
      </c>
      <c r="D11" s="41">
        <v>10</v>
      </c>
      <c r="E11" s="58" t="s">
        <v>46</v>
      </c>
      <c r="F11" s="43" t="s">
        <v>32</v>
      </c>
      <c r="G11" s="44">
        <v>46237</v>
      </c>
      <c r="H11" s="1">
        <f>G11+(42-L11)</f>
        <v>46279</v>
      </c>
      <c r="I11" s="45"/>
      <c r="J11" s="46"/>
      <c r="K11" s="47"/>
      <c r="L11" s="47"/>
      <c r="M11" s="47"/>
      <c r="N11" s="45"/>
      <c r="O11" s="45"/>
      <c r="P11" s="45"/>
      <c r="Q11" s="48"/>
      <c r="R11" s="48">
        <f>30-K11-Q11-S11</f>
        <v>30</v>
      </c>
      <c r="S11" s="49"/>
      <c r="T11" s="45"/>
      <c r="U11" s="45"/>
      <c r="V11" s="50">
        <v>14</v>
      </c>
      <c r="W11" s="45">
        <v>46077</v>
      </c>
      <c r="X11" s="45">
        <v>46097</v>
      </c>
      <c r="Y11" s="51"/>
      <c r="Z11" s="45"/>
      <c r="AA11" s="45"/>
      <c r="AB11" s="52"/>
      <c r="AC11" s="52"/>
      <c r="AD11" s="45"/>
      <c r="AE11" s="45"/>
      <c r="AF11" s="52"/>
      <c r="AG11" s="45"/>
      <c r="AH11" s="46"/>
      <c r="AI11" s="53" t="s">
        <v>47</v>
      </c>
      <c r="AJ11" s="53"/>
      <c r="AK11" s="52">
        <v>1</v>
      </c>
      <c r="AL11" s="52" t="s">
        <v>34</v>
      </c>
    </row>
    <row r="12" spans="1:38">
      <c r="A12" s="39">
        <f>A11+1</f>
        <v>10</v>
      </c>
      <c r="B12" s="40" t="s">
        <v>48</v>
      </c>
      <c r="C12" s="41">
        <v>2158</v>
      </c>
      <c r="D12" s="41">
        <v>10</v>
      </c>
      <c r="E12" s="42" t="s">
        <v>49</v>
      </c>
      <c r="F12" s="43" t="s">
        <v>32</v>
      </c>
      <c r="G12" s="44"/>
      <c r="H12" s="1">
        <f>G12+(42-L12)</f>
        <v>42</v>
      </c>
      <c r="I12" s="45"/>
      <c r="J12" s="46"/>
      <c r="K12" s="47"/>
      <c r="L12" s="47"/>
      <c r="M12" s="47"/>
      <c r="N12" s="45"/>
      <c r="O12" s="45"/>
      <c r="P12" s="45"/>
      <c r="Q12" s="48"/>
      <c r="R12" s="48">
        <f>30-K12-Q12-S12</f>
        <v>30</v>
      </c>
      <c r="S12" s="49"/>
      <c r="T12" s="45"/>
      <c r="U12" s="45"/>
      <c r="V12" s="50"/>
      <c r="W12" s="45"/>
      <c r="X12" s="45"/>
      <c r="Y12" s="51"/>
      <c r="Z12" s="45"/>
      <c r="AA12" s="45"/>
      <c r="AB12" s="52"/>
      <c r="AC12" s="52"/>
      <c r="AD12" s="45"/>
      <c r="AE12" s="45"/>
      <c r="AF12" s="52"/>
      <c r="AG12" s="45"/>
      <c r="AH12" s="46"/>
      <c r="AI12" s="53"/>
      <c r="AJ12" s="53"/>
      <c r="AK12" s="52"/>
      <c r="AL12" s="52"/>
    </row>
    <row r="13" spans="1:38">
      <c r="A13" s="39">
        <f>A12+1</f>
        <v>11</v>
      </c>
      <c r="B13" s="40" t="s">
        <v>50</v>
      </c>
      <c r="C13" s="41">
        <v>2398</v>
      </c>
      <c r="D13" s="41">
        <v>10</v>
      </c>
      <c r="E13" s="42" t="s">
        <v>46</v>
      </c>
      <c r="F13" s="43" t="s">
        <v>32</v>
      </c>
      <c r="G13" s="44">
        <v>46244</v>
      </c>
      <c r="H13" s="1">
        <f>G13+(42-L13)</f>
        <v>158</v>
      </c>
      <c r="I13" s="45"/>
      <c r="J13" s="46"/>
      <c r="K13" s="59">
        <v>3</v>
      </c>
      <c r="L13" s="47">
        <v>46128</v>
      </c>
      <c r="M13" s="47">
        <v>46133</v>
      </c>
      <c r="N13" s="45"/>
      <c r="O13" s="45"/>
      <c r="P13" s="45"/>
      <c r="Q13" s="48"/>
      <c r="R13" s="48">
        <f>30-K13-Q13-S13</f>
        <v>27</v>
      </c>
      <c r="S13" s="49"/>
      <c r="T13" s="45"/>
      <c r="U13" s="45"/>
      <c r="V13" s="50"/>
      <c r="W13" s="45"/>
      <c r="X13" s="45"/>
      <c r="Y13" s="51"/>
      <c r="Z13" s="45"/>
      <c r="AA13" s="45"/>
      <c r="AB13" s="52"/>
      <c r="AC13" s="52"/>
      <c r="AD13" s="45"/>
      <c r="AE13" s="45"/>
      <c r="AF13" s="52"/>
      <c r="AG13" s="45"/>
      <c r="AH13" s="46"/>
      <c r="AI13" s="53" t="s">
        <v>51</v>
      </c>
      <c r="AJ13" s="53"/>
      <c r="AK13" s="52">
        <v>1</v>
      </c>
      <c r="AL13" s="52" t="s">
        <v>34</v>
      </c>
    </row>
    <row r="14" spans="1:38">
      <c r="A14" s="39">
        <f>A13+1</f>
        <v>12</v>
      </c>
      <c r="B14" s="40" t="s">
        <v>52</v>
      </c>
      <c r="C14" s="41">
        <v>2639</v>
      </c>
      <c r="D14" s="41">
        <v>10</v>
      </c>
      <c r="E14" s="42" t="s">
        <v>46</v>
      </c>
      <c r="F14" s="56" t="s">
        <v>32</v>
      </c>
      <c r="G14" s="44">
        <v>46380</v>
      </c>
      <c r="H14" s="1">
        <f>G14+(42-L14)</f>
        <v>255</v>
      </c>
      <c r="I14" s="45"/>
      <c r="J14" s="46"/>
      <c r="K14" s="59">
        <v>5</v>
      </c>
      <c r="L14" s="47">
        <v>46167</v>
      </c>
      <c r="M14" s="47">
        <v>46174</v>
      </c>
      <c r="N14" s="45"/>
      <c r="O14" s="45"/>
      <c r="P14" s="45"/>
      <c r="Q14" s="48"/>
      <c r="R14" s="48">
        <f>30-K14-Q14-S14</f>
        <v>25</v>
      </c>
      <c r="S14" s="49"/>
      <c r="T14" s="45"/>
      <c r="U14" s="45"/>
      <c r="V14" s="50"/>
      <c r="W14" s="45"/>
      <c r="X14" s="45"/>
      <c r="Y14" s="51"/>
      <c r="Z14" s="45"/>
      <c r="AA14" s="45"/>
      <c r="AB14" s="52"/>
      <c r="AC14" s="52"/>
      <c r="AD14" s="45"/>
      <c r="AE14" s="45"/>
      <c r="AF14" s="52"/>
      <c r="AG14" s="45"/>
      <c r="AH14" s="46"/>
      <c r="AI14" s="53" t="s">
        <v>51</v>
      </c>
      <c r="AJ14" s="53"/>
      <c r="AK14" s="52">
        <v>1</v>
      </c>
      <c r="AL14" s="52" t="s">
        <v>34</v>
      </c>
    </row>
    <row r="15" spans="1:38">
      <c r="A15" s="39">
        <f>A14+1</f>
        <v>13</v>
      </c>
      <c r="B15" s="57" t="s">
        <v>53</v>
      </c>
      <c r="C15" s="41">
        <v>2957</v>
      </c>
      <c r="D15" s="41">
        <v>9</v>
      </c>
      <c r="E15" s="58" t="s">
        <v>54</v>
      </c>
      <c r="F15" s="43" t="s">
        <v>32</v>
      </c>
      <c r="G15" s="44"/>
      <c r="H15" s="1">
        <f>G15+(42-L15)</f>
        <v>-46077</v>
      </c>
      <c r="I15" s="45"/>
      <c r="J15" s="46"/>
      <c r="K15" s="59">
        <v>3</v>
      </c>
      <c r="L15" s="47">
        <v>46119</v>
      </c>
      <c r="M15" s="47">
        <v>46122</v>
      </c>
      <c r="N15" s="45"/>
      <c r="O15" s="45"/>
      <c r="P15" s="45"/>
      <c r="Q15" s="48"/>
      <c r="R15" s="48">
        <f>30-K15-Q15-S15</f>
        <v>27</v>
      </c>
      <c r="S15" s="49"/>
      <c r="T15" s="45"/>
      <c r="U15" s="45"/>
      <c r="V15" s="50"/>
      <c r="W15" s="45"/>
      <c r="X15" s="45"/>
      <c r="Y15" s="51"/>
      <c r="Z15" s="45"/>
      <c r="AA15" s="45"/>
      <c r="AB15" s="52"/>
      <c r="AC15" s="52"/>
      <c r="AD15" s="45"/>
      <c r="AE15" s="45"/>
      <c r="AF15" s="52"/>
      <c r="AG15" s="45"/>
      <c r="AH15" s="46"/>
      <c r="AI15" s="53" t="s">
        <v>51</v>
      </c>
      <c r="AJ15" s="53"/>
      <c r="AK15" s="52">
        <v>1</v>
      </c>
      <c r="AL15" s="52"/>
    </row>
    <row r="16" spans="1:38">
      <c r="A16" s="39">
        <f>A15+1</f>
        <v>14</v>
      </c>
      <c r="B16" s="40" t="s">
        <v>55</v>
      </c>
      <c r="C16" s="41">
        <v>1030</v>
      </c>
      <c r="D16" s="41">
        <v>9</v>
      </c>
      <c r="E16" s="42" t="s">
        <v>54</v>
      </c>
      <c r="F16" s="43" t="s">
        <v>32</v>
      </c>
      <c r="G16" s="44">
        <v>46160</v>
      </c>
      <c r="H16" s="1">
        <f>G16+(42-L16)</f>
        <v>46202</v>
      </c>
      <c r="I16" s="45"/>
      <c r="J16" s="46"/>
      <c r="K16" s="47"/>
      <c r="L16" s="47"/>
      <c r="M16" s="47"/>
      <c r="N16" s="45"/>
      <c r="O16" s="45"/>
      <c r="P16" s="45"/>
      <c r="Q16" s="48"/>
      <c r="R16" s="48">
        <f>30-K16-Q16-S16</f>
        <v>30</v>
      </c>
      <c r="S16" s="49"/>
      <c r="T16" s="45">
        <v>46160</v>
      </c>
      <c r="U16" s="45">
        <v>46202</v>
      </c>
      <c r="V16" s="50"/>
      <c r="W16" s="45"/>
      <c r="X16" s="45"/>
      <c r="Y16" s="51"/>
      <c r="Z16" s="45"/>
      <c r="AA16" s="45"/>
      <c r="AB16" s="52"/>
      <c r="AC16" s="52"/>
      <c r="AD16" s="45"/>
      <c r="AE16" s="45"/>
      <c r="AF16" s="52"/>
      <c r="AG16" s="45"/>
      <c r="AH16" s="46"/>
      <c r="AI16" s="53" t="s">
        <v>39</v>
      </c>
      <c r="AJ16" s="53" t="s">
        <v>40</v>
      </c>
      <c r="AK16" s="52">
        <v>1</v>
      </c>
      <c r="AL16" s="52" t="s">
        <v>34</v>
      </c>
    </row>
    <row r="17" spans="1:38">
      <c r="A17" s="39">
        <f>A16+1</f>
        <v>15</v>
      </c>
      <c r="B17" s="40" t="s">
        <v>56</v>
      </c>
      <c r="C17" s="41">
        <v>2464</v>
      </c>
      <c r="D17" s="41">
        <v>9</v>
      </c>
      <c r="E17" s="42" t="s">
        <v>54</v>
      </c>
      <c r="F17" s="43" t="s">
        <v>32</v>
      </c>
      <c r="G17" s="44">
        <v>46384</v>
      </c>
      <c r="H17" s="1">
        <f>G17+(42-L17)</f>
        <v>46426</v>
      </c>
      <c r="I17" s="45"/>
      <c r="J17" s="46"/>
      <c r="K17" s="47"/>
      <c r="L17" s="47"/>
      <c r="M17" s="47"/>
      <c r="N17" s="45"/>
      <c r="O17" s="45"/>
      <c r="P17" s="45"/>
      <c r="Q17" s="48"/>
      <c r="R17" s="48">
        <f>30-K17-Q17-S17</f>
        <v>30</v>
      </c>
      <c r="S17" s="49"/>
      <c r="T17" s="45"/>
      <c r="U17" s="45"/>
      <c r="V17" s="50"/>
      <c r="W17" s="45"/>
      <c r="X17" s="45"/>
      <c r="Y17" s="51"/>
      <c r="Z17" s="45"/>
      <c r="AA17" s="45"/>
      <c r="AB17" s="52"/>
      <c r="AC17" s="52"/>
      <c r="AD17" s="45"/>
      <c r="AE17" s="45"/>
      <c r="AF17" s="52"/>
      <c r="AG17" s="45"/>
      <c r="AH17" s="46"/>
      <c r="AI17" s="53"/>
      <c r="AJ17" s="53"/>
      <c r="AK17" s="52"/>
      <c r="AL17" s="52"/>
    </row>
    <row r="18" spans="1:38">
      <c r="A18" s="39">
        <f>A17+1</f>
        <v>16</v>
      </c>
      <c r="B18" s="40" t="s">
        <v>57</v>
      </c>
      <c r="C18" s="41">
        <v>2551</v>
      </c>
      <c r="D18" s="41">
        <v>9</v>
      </c>
      <c r="E18" s="42" t="s">
        <v>54</v>
      </c>
      <c r="F18" s="56" t="s">
        <v>32</v>
      </c>
      <c r="G18" s="44">
        <v>46237</v>
      </c>
      <c r="H18" s="1">
        <f>G18+(42-L18)</f>
        <v>168</v>
      </c>
      <c r="I18" s="45"/>
      <c r="J18" s="46"/>
      <c r="K18" s="59">
        <v>4</v>
      </c>
      <c r="L18" s="47">
        <v>46111</v>
      </c>
      <c r="M18" s="47">
        <v>46115</v>
      </c>
      <c r="N18" s="45"/>
      <c r="O18" s="45"/>
      <c r="P18" s="45"/>
      <c r="Q18" s="48"/>
      <c r="R18" s="48">
        <f>30-K18-Q18-S18</f>
        <v>26</v>
      </c>
      <c r="S18" s="49"/>
      <c r="T18" s="45"/>
      <c r="U18" s="45"/>
      <c r="V18" s="50"/>
      <c r="W18" s="45"/>
      <c r="X18" s="45"/>
      <c r="Y18" s="51"/>
      <c r="Z18" s="45"/>
      <c r="AA18" s="45"/>
      <c r="AB18" s="52"/>
      <c r="AC18" s="52"/>
      <c r="AD18" s="45"/>
      <c r="AE18" s="45"/>
      <c r="AF18" s="52"/>
      <c r="AG18" s="45"/>
      <c r="AH18" s="46"/>
      <c r="AI18" s="53" t="s">
        <v>51</v>
      </c>
      <c r="AJ18" s="53"/>
      <c r="AK18" s="52">
        <v>1</v>
      </c>
      <c r="AL18" s="52" t="s">
        <v>34</v>
      </c>
    </row>
    <row r="19" spans="1:38">
      <c r="A19" s="39">
        <f>A18+1</f>
        <v>17</v>
      </c>
      <c r="B19" s="40" t="s">
        <v>58</v>
      </c>
      <c r="C19" s="41">
        <v>2322</v>
      </c>
      <c r="D19" s="41">
        <v>9</v>
      </c>
      <c r="E19" s="42" t="s">
        <v>59</v>
      </c>
      <c r="F19" s="43" t="s">
        <v>32</v>
      </c>
      <c r="G19" s="44">
        <v>46386</v>
      </c>
      <c r="H19" s="1">
        <f>G19+(42-L19)</f>
        <v>46428</v>
      </c>
      <c r="I19" s="45"/>
      <c r="J19" s="46"/>
      <c r="K19" s="47"/>
      <c r="L19" s="47"/>
      <c r="M19" s="47"/>
      <c r="N19" s="45"/>
      <c r="O19" s="45"/>
      <c r="P19" s="45"/>
      <c r="Q19" s="48"/>
      <c r="R19" s="48">
        <f>30-K19-Q19-S19</f>
        <v>30</v>
      </c>
      <c r="S19" s="49"/>
      <c r="T19" s="45"/>
      <c r="U19" s="45"/>
      <c r="V19" s="50"/>
      <c r="W19" s="45"/>
      <c r="X19" s="45"/>
      <c r="Y19" s="51"/>
      <c r="Z19" s="45"/>
      <c r="AA19" s="45"/>
      <c r="AB19" s="52"/>
      <c r="AC19" s="52"/>
      <c r="AD19" s="45"/>
      <c r="AE19" s="45"/>
      <c r="AF19" s="52"/>
      <c r="AG19" s="45"/>
      <c r="AH19" s="46"/>
      <c r="AI19" s="53"/>
      <c r="AJ19" s="53"/>
      <c r="AK19" s="52"/>
      <c r="AL19" s="52"/>
    </row>
    <row r="20" spans="1:38">
      <c r="A20" s="39">
        <f>A19+1</f>
        <v>18</v>
      </c>
      <c r="B20" s="57" t="s">
        <v>60</v>
      </c>
      <c r="C20" s="41">
        <v>3015</v>
      </c>
      <c r="D20" s="41">
        <v>9</v>
      </c>
      <c r="E20" s="58" t="s">
        <v>54</v>
      </c>
      <c r="F20" s="43" t="s">
        <v>32</v>
      </c>
      <c r="G20" s="44">
        <v>46388</v>
      </c>
      <c r="H20" s="1">
        <f>G20+(42-L20)</f>
        <v>372</v>
      </c>
      <c r="I20" s="45"/>
      <c r="J20" s="46"/>
      <c r="K20" s="59">
        <v>5</v>
      </c>
      <c r="L20" s="47">
        <v>46058</v>
      </c>
      <c r="M20" s="47">
        <v>46065</v>
      </c>
      <c r="N20" s="45"/>
      <c r="O20" s="45"/>
      <c r="P20" s="45"/>
      <c r="Q20" s="48">
        <v>15</v>
      </c>
      <c r="R20" s="48">
        <f>30-K20-Q20-S20</f>
        <v>10</v>
      </c>
      <c r="S20" s="49"/>
      <c r="T20" s="45">
        <v>46093</v>
      </c>
      <c r="U20" s="45">
        <v>46114</v>
      </c>
      <c r="V20" s="50"/>
      <c r="W20" s="45"/>
      <c r="X20" s="45"/>
      <c r="Y20" s="51"/>
      <c r="Z20" s="45"/>
      <c r="AA20" s="45"/>
      <c r="AB20" s="52"/>
      <c r="AC20" s="52"/>
      <c r="AD20" s="45"/>
      <c r="AE20" s="45"/>
      <c r="AF20" s="52"/>
      <c r="AG20" s="45"/>
      <c r="AH20" s="46"/>
      <c r="AI20" s="53" t="s">
        <v>33</v>
      </c>
      <c r="AJ20" s="53"/>
      <c r="AK20" s="52">
        <v>2</v>
      </c>
      <c r="AL20" s="52" t="s">
        <v>34</v>
      </c>
    </row>
    <row r="21" spans="1:38">
      <c r="A21" s="39">
        <f>A20+1</f>
        <v>19</v>
      </c>
      <c r="B21" s="57" t="s">
        <v>61</v>
      </c>
      <c r="C21" s="41">
        <v>3018</v>
      </c>
      <c r="D21" s="41">
        <v>9</v>
      </c>
      <c r="E21" s="58" t="s">
        <v>54</v>
      </c>
      <c r="F21" s="43" t="s">
        <v>32</v>
      </c>
      <c r="G21" s="44">
        <v>46419</v>
      </c>
      <c r="H21" s="1">
        <f>G21+(42-L21)</f>
        <v>46461</v>
      </c>
      <c r="I21" s="45"/>
      <c r="J21" s="46"/>
      <c r="K21" s="47"/>
      <c r="L21" s="47"/>
      <c r="M21" s="47"/>
      <c r="N21" s="45"/>
      <c r="O21" s="45"/>
      <c r="P21" s="45"/>
      <c r="Q21" s="48">
        <v>8</v>
      </c>
      <c r="R21" s="48">
        <f>30-K21-Q21-S21</f>
        <v>22</v>
      </c>
      <c r="S21" s="49"/>
      <c r="T21" s="45">
        <v>46164</v>
      </c>
      <c r="U21" s="45">
        <v>46176</v>
      </c>
      <c r="V21" s="50"/>
      <c r="W21" s="45"/>
      <c r="X21" s="45"/>
      <c r="Y21" s="51"/>
      <c r="Z21" s="45"/>
      <c r="AA21" s="45"/>
      <c r="AB21" s="52"/>
      <c r="AC21" s="52"/>
      <c r="AD21" s="45"/>
      <c r="AE21" s="45"/>
      <c r="AF21" s="52"/>
      <c r="AG21" s="45"/>
      <c r="AH21" s="46"/>
      <c r="AI21" s="53" t="s">
        <v>33</v>
      </c>
      <c r="AJ21" s="53"/>
      <c r="AK21" s="52">
        <v>1</v>
      </c>
      <c r="AL21" s="52" t="s">
        <v>34</v>
      </c>
    </row>
    <row r="22" spans="1:38">
      <c r="A22" s="39">
        <f>A21+1</f>
        <v>20</v>
      </c>
      <c r="B22" s="57" t="s">
        <v>62</v>
      </c>
      <c r="C22" s="41">
        <v>2971</v>
      </c>
      <c r="D22" s="41">
        <v>8</v>
      </c>
      <c r="E22" s="58" t="s">
        <v>63</v>
      </c>
      <c r="F22" s="43" t="s">
        <v>32</v>
      </c>
      <c r="G22" s="44">
        <v>46296</v>
      </c>
      <c r="H22" s="1">
        <f>G22+(42-L22)</f>
        <v>46338</v>
      </c>
      <c r="I22" s="45"/>
      <c r="J22" s="46"/>
      <c r="K22" s="47"/>
      <c r="L22" s="47"/>
      <c r="M22" s="47"/>
      <c r="N22" s="45"/>
      <c r="O22" s="45"/>
      <c r="P22" s="45"/>
      <c r="Q22" s="48"/>
      <c r="R22" s="48">
        <f>30-K22-Q22-S22</f>
        <v>30</v>
      </c>
      <c r="S22" s="49"/>
      <c r="T22" s="45"/>
      <c r="U22" s="45"/>
      <c r="V22" s="50"/>
      <c r="W22" s="45"/>
      <c r="X22" s="45"/>
      <c r="Y22" s="51"/>
      <c r="Z22" s="45"/>
      <c r="AA22" s="45"/>
      <c r="AB22" s="52"/>
      <c r="AC22" s="52"/>
      <c r="AD22" s="45"/>
      <c r="AE22" s="45"/>
      <c r="AF22" s="52"/>
      <c r="AG22" s="45"/>
      <c r="AH22" s="46"/>
      <c r="AI22" s="53"/>
      <c r="AJ22" s="53"/>
      <c r="AK22" s="52"/>
      <c r="AL22" s="52"/>
    </row>
    <row r="23" spans="1:38">
      <c r="A23" s="39">
        <f>A22+1</f>
        <v>21</v>
      </c>
      <c r="B23" s="57" t="s">
        <v>64</v>
      </c>
      <c r="C23" s="41">
        <v>2734</v>
      </c>
      <c r="D23" s="41">
        <v>7</v>
      </c>
      <c r="E23" s="58" t="s">
        <v>65</v>
      </c>
      <c r="F23" s="43" t="s">
        <v>32</v>
      </c>
      <c r="G23" s="44">
        <v>46349</v>
      </c>
      <c r="H23" s="1">
        <f>G23+(42-L23)</f>
        <v>293</v>
      </c>
      <c r="I23" s="45"/>
      <c r="J23" s="46"/>
      <c r="K23" s="59">
        <v>5</v>
      </c>
      <c r="L23" s="47">
        <v>46098</v>
      </c>
      <c r="M23" s="47">
        <v>46105</v>
      </c>
      <c r="N23" s="45"/>
      <c r="O23" s="45"/>
      <c r="P23" s="45"/>
      <c r="Q23" s="48"/>
      <c r="R23" s="48">
        <f>30-K23-Q23-S23</f>
        <v>25</v>
      </c>
      <c r="S23" s="49"/>
      <c r="T23" s="45"/>
      <c r="U23" s="45"/>
      <c r="V23" s="50"/>
      <c r="W23" s="45"/>
      <c r="X23" s="45"/>
      <c r="Y23" s="51"/>
      <c r="Z23" s="45"/>
      <c r="AA23" s="45"/>
      <c r="AB23" s="52"/>
      <c r="AC23" s="52"/>
      <c r="AD23" s="45"/>
      <c r="AE23" s="45"/>
      <c r="AF23" s="52"/>
      <c r="AG23" s="45"/>
      <c r="AH23" s="46"/>
      <c r="AI23" s="53" t="s">
        <v>51</v>
      </c>
      <c r="AJ23" s="53"/>
      <c r="AK23" s="52">
        <v>1</v>
      </c>
      <c r="AL23" s="52" t="s">
        <v>34</v>
      </c>
    </row>
    <row r="24" spans="1:38">
      <c r="A24" s="39">
        <f>A23+1</f>
        <v>22</v>
      </c>
      <c r="B24" s="57" t="s">
        <v>66</v>
      </c>
      <c r="C24" s="41">
        <v>2840</v>
      </c>
      <c r="D24" s="41">
        <v>7</v>
      </c>
      <c r="E24" s="42" t="s">
        <v>65</v>
      </c>
      <c r="F24" s="43" t="s">
        <v>32</v>
      </c>
      <c r="G24" s="44">
        <v>46272</v>
      </c>
      <c r="H24" s="1">
        <f>G24+(42-L24)</f>
        <v>46314</v>
      </c>
      <c r="I24" s="45"/>
      <c r="J24" s="46"/>
      <c r="K24" s="47"/>
      <c r="L24" s="47"/>
      <c r="M24" s="47"/>
      <c r="N24" s="45"/>
      <c r="O24" s="45"/>
      <c r="P24" s="45"/>
      <c r="Q24" s="48"/>
      <c r="R24" s="48">
        <f>30-K24-Q24-S24</f>
        <v>30</v>
      </c>
      <c r="S24" s="49"/>
      <c r="T24" s="45"/>
      <c r="U24" s="45"/>
      <c r="V24" s="50"/>
      <c r="W24" s="45"/>
      <c r="X24" s="45"/>
      <c r="Y24" s="51"/>
      <c r="Z24" s="45"/>
      <c r="AA24" s="45"/>
      <c r="AB24" s="52"/>
      <c r="AC24" s="52"/>
      <c r="AD24" s="45"/>
      <c r="AE24" s="45"/>
      <c r="AF24" s="52">
        <v>5</v>
      </c>
      <c r="AG24" s="45">
        <v>46147</v>
      </c>
      <c r="AH24" s="46">
        <v>46157</v>
      </c>
      <c r="AI24" s="53" t="s">
        <v>67</v>
      </c>
      <c r="AJ24" s="53"/>
      <c r="AK24" s="52"/>
      <c r="AL24" s="52" t="s">
        <v>34</v>
      </c>
    </row>
    <row r="25" spans="1:38">
      <c r="A25" s="39">
        <f>A24+1</f>
        <v>23</v>
      </c>
      <c r="B25" s="57" t="s">
        <v>68</v>
      </c>
      <c r="C25" s="41">
        <v>2913</v>
      </c>
      <c r="D25" s="41">
        <v>7</v>
      </c>
      <c r="E25" s="42" t="s">
        <v>65</v>
      </c>
      <c r="F25" s="43" t="s">
        <v>32</v>
      </c>
      <c r="G25" s="44">
        <v>46382</v>
      </c>
      <c r="H25" s="1">
        <f>G25+(42-L25)</f>
        <v>46424</v>
      </c>
      <c r="I25" s="45"/>
      <c r="J25" s="46"/>
      <c r="K25" s="47"/>
      <c r="L25" s="47"/>
      <c r="M25" s="47"/>
      <c r="N25" s="45"/>
      <c r="O25" s="45"/>
      <c r="P25" s="45"/>
      <c r="Q25" s="48"/>
      <c r="R25" s="48">
        <f>30-K25-Q25-S25</f>
        <v>30</v>
      </c>
      <c r="S25" s="49"/>
      <c r="T25" s="45"/>
      <c r="U25" s="45"/>
      <c r="V25" s="50"/>
      <c r="W25" s="45"/>
      <c r="X25" s="45"/>
      <c r="Y25" s="51"/>
      <c r="Z25" s="45"/>
      <c r="AA25" s="45"/>
      <c r="AB25" s="52"/>
      <c r="AC25" s="52"/>
      <c r="AD25" s="45"/>
      <c r="AE25" s="45"/>
      <c r="AF25" s="52"/>
      <c r="AG25" s="45"/>
      <c r="AH25" s="46"/>
      <c r="AI25" s="53"/>
      <c r="AJ25" s="53"/>
      <c r="AK25" s="52"/>
      <c r="AL25" s="52"/>
    </row>
    <row r="26" spans="1:38">
      <c r="A26" s="39">
        <f>A25+1</f>
        <v>24</v>
      </c>
      <c r="B26" s="40" t="s">
        <v>69</v>
      </c>
      <c r="C26" s="41">
        <v>299</v>
      </c>
      <c r="D26" s="41">
        <v>17</v>
      </c>
      <c r="E26" s="60" t="s">
        <v>70</v>
      </c>
      <c r="F26" s="43" t="s">
        <v>71</v>
      </c>
      <c r="G26" s="44"/>
      <c r="H26" s="1">
        <f>G26+(42-L26)</f>
        <v>42</v>
      </c>
      <c r="I26" s="45"/>
      <c r="J26" s="46"/>
      <c r="K26" s="47"/>
      <c r="L26" s="47"/>
      <c r="M26" s="47"/>
      <c r="N26" s="45"/>
      <c r="O26" s="45"/>
      <c r="P26" s="45"/>
      <c r="Q26" s="48"/>
      <c r="R26" s="48">
        <f>30-K26-Q26-S26</f>
        <v>30</v>
      </c>
      <c r="S26" s="49"/>
      <c r="T26" s="45"/>
      <c r="U26" s="45"/>
      <c r="V26" s="50"/>
      <c r="W26" s="45"/>
      <c r="X26" s="45"/>
      <c r="Y26" s="51"/>
      <c r="Z26" s="45"/>
      <c r="AA26" s="45"/>
      <c r="AB26" s="52"/>
      <c r="AC26" s="52"/>
      <c r="AD26" s="45"/>
      <c r="AE26" s="45"/>
      <c r="AF26" s="52"/>
      <c r="AG26" s="45"/>
      <c r="AH26" s="46"/>
      <c r="AI26" s="53"/>
      <c r="AJ26" s="53"/>
      <c r="AK26" s="52"/>
      <c r="AL26" s="52"/>
    </row>
    <row r="27" spans="1:38">
      <c r="A27" s="39">
        <f>A26+1</f>
        <v>25</v>
      </c>
      <c r="B27" s="40" t="s">
        <v>72</v>
      </c>
      <c r="C27" s="41">
        <v>487</v>
      </c>
      <c r="D27" s="41">
        <v>13</v>
      </c>
      <c r="E27" s="60" t="s">
        <v>73</v>
      </c>
      <c r="F27" s="43" t="s">
        <v>71</v>
      </c>
      <c r="G27" s="44"/>
      <c r="H27" s="1">
        <f>G27+(42-L27)</f>
        <v>-46077</v>
      </c>
      <c r="I27" s="45"/>
      <c r="J27" s="46"/>
      <c r="K27" s="59">
        <v>4</v>
      </c>
      <c r="L27" s="47">
        <v>46119</v>
      </c>
      <c r="M27" s="47">
        <v>46125</v>
      </c>
      <c r="N27" s="45"/>
      <c r="O27" s="45"/>
      <c r="P27" s="45"/>
      <c r="Q27" s="48"/>
      <c r="R27" s="48">
        <f>30-K27-Q27-S27</f>
        <v>26</v>
      </c>
      <c r="S27" s="49"/>
      <c r="T27" s="45"/>
      <c r="U27" s="45"/>
      <c r="V27" s="50"/>
      <c r="W27" s="45"/>
      <c r="X27" s="45"/>
      <c r="Y27" s="51"/>
      <c r="Z27" s="45"/>
      <c r="AA27" s="45"/>
      <c r="AB27" s="52"/>
      <c r="AC27" s="52"/>
      <c r="AD27" s="45"/>
      <c r="AE27" s="45"/>
      <c r="AF27" s="52"/>
      <c r="AG27" s="45"/>
      <c r="AH27" s="46"/>
      <c r="AI27" s="53" t="s">
        <v>51</v>
      </c>
      <c r="AJ27" s="53"/>
      <c r="AK27" s="52">
        <v>1</v>
      </c>
      <c r="AL27" s="52" t="s">
        <v>34</v>
      </c>
    </row>
    <row r="28" spans="1:38">
      <c r="A28" s="39">
        <f>A27+1</f>
        <v>26</v>
      </c>
      <c r="B28" s="57" t="s">
        <v>74</v>
      </c>
      <c r="C28" s="41">
        <v>2771</v>
      </c>
      <c r="D28" s="41">
        <v>8</v>
      </c>
      <c r="E28" s="61" t="s">
        <v>75</v>
      </c>
      <c r="F28" s="43" t="s">
        <v>71</v>
      </c>
      <c r="G28" s="44"/>
      <c r="H28" s="1">
        <f>G28+(42-L28)</f>
        <v>-46113</v>
      </c>
      <c r="I28" s="45"/>
      <c r="J28" s="46"/>
      <c r="K28" s="59">
        <v>5</v>
      </c>
      <c r="L28" s="47">
        <v>46155</v>
      </c>
      <c r="M28" s="47">
        <v>46162</v>
      </c>
      <c r="N28" s="45"/>
      <c r="O28" s="45"/>
      <c r="P28" s="45"/>
      <c r="Q28" s="48"/>
      <c r="R28" s="48">
        <f>30-K28-Q28-S28</f>
        <v>25</v>
      </c>
      <c r="S28" s="49"/>
      <c r="T28" s="45"/>
      <c r="U28" s="45"/>
      <c r="V28" s="50"/>
      <c r="W28" s="45"/>
      <c r="X28" s="45"/>
      <c r="Y28" s="51"/>
      <c r="Z28" s="45"/>
      <c r="AA28" s="45"/>
      <c r="AB28" s="52"/>
      <c r="AC28" s="52"/>
      <c r="AD28" s="45"/>
      <c r="AE28" s="45"/>
      <c r="AF28" s="52"/>
      <c r="AG28" s="45"/>
      <c r="AH28" s="46"/>
      <c r="AI28" s="53" t="s">
        <v>51</v>
      </c>
      <c r="AJ28" s="53"/>
      <c r="AK28" s="52">
        <v>1</v>
      </c>
      <c r="AL28" s="52" t="s">
        <v>34</v>
      </c>
    </row>
    <row r="29" spans="1:38">
      <c r="A29" s="39">
        <f>A28+1</f>
        <v>27</v>
      </c>
      <c r="B29" s="40" t="s">
        <v>76</v>
      </c>
      <c r="C29" s="41">
        <v>1728</v>
      </c>
      <c r="D29" s="41">
        <v>7</v>
      </c>
      <c r="E29" s="60" t="s">
        <v>77</v>
      </c>
      <c r="F29" s="43" t="s">
        <v>71</v>
      </c>
      <c r="G29" s="44">
        <v>46387</v>
      </c>
      <c r="H29" s="1">
        <f>G29+(42-L29)</f>
        <v>46429</v>
      </c>
      <c r="I29" s="45"/>
      <c r="J29" s="46"/>
      <c r="K29" s="47"/>
      <c r="L29" s="47"/>
      <c r="M29" s="47"/>
      <c r="N29" s="45"/>
      <c r="O29" s="45"/>
      <c r="P29" s="45"/>
      <c r="Q29" s="48"/>
      <c r="R29" s="48">
        <f>30-K29-Q29-S29</f>
        <v>30</v>
      </c>
      <c r="S29" s="49"/>
      <c r="T29" s="45"/>
      <c r="U29" s="45"/>
      <c r="V29" s="50"/>
      <c r="W29" s="45"/>
      <c r="X29" s="45"/>
      <c r="Y29" s="51"/>
      <c r="Z29" s="45"/>
      <c r="AA29" s="45"/>
      <c r="AB29" s="52"/>
      <c r="AC29" s="52"/>
      <c r="AD29" s="45"/>
      <c r="AE29" s="45"/>
      <c r="AF29" s="52"/>
      <c r="AG29" s="45"/>
      <c r="AH29" s="46"/>
      <c r="AI29" s="53"/>
      <c r="AJ29" s="53"/>
      <c r="AK29" s="52"/>
      <c r="AL29" s="52"/>
    </row>
    <row r="30" spans="1:38">
      <c r="A30" s="39">
        <f>A29+1</f>
        <v>28</v>
      </c>
      <c r="B30" s="57" t="s">
        <v>78</v>
      </c>
      <c r="C30" s="41">
        <v>2674</v>
      </c>
      <c r="D30" s="41" t="s">
        <v>79</v>
      </c>
      <c r="E30" s="61" t="s">
        <v>65</v>
      </c>
      <c r="F30" s="43" t="s">
        <v>71</v>
      </c>
      <c r="G30" s="44"/>
      <c r="H30" s="1">
        <f>G30+(42-L30)</f>
        <v>42</v>
      </c>
      <c r="I30" s="45"/>
      <c r="J30" s="46"/>
      <c r="K30" s="47"/>
      <c r="L30" s="47"/>
      <c r="M30" s="47"/>
      <c r="N30" s="45"/>
      <c r="O30" s="45"/>
      <c r="P30" s="45"/>
      <c r="Q30" s="48"/>
      <c r="R30" s="48">
        <f>30-K30-Q30-S30</f>
        <v>30</v>
      </c>
      <c r="S30" s="49"/>
      <c r="T30" s="45"/>
      <c r="U30" s="45"/>
      <c r="V30" s="50"/>
      <c r="W30" s="45"/>
      <c r="X30" s="45"/>
      <c r="Y30" s="51"/>
      <c r="Z30" s="45"/>
      <c r="AA30" s="45"/>
      <c r="AB30" s="52"/>
      <c r="AC30" s="52"/>
      <c r="AD30" s="45"/>
      <c r="AE30" s="45"/>
      <c r="AF30" s="52">
        <v>5</v>
      </c>
      <c r="AG30" s="45">
        <v>46147</v>
      </c>
      <c r="AH30" s="46">
        <v>46154</v>
      </c>
      <c r="AI30" s="53" t="s">
        <v>67</v>
      </c>
      <c r="AJ30" s="53"/>
      <c r="AK30" s="52">
        <v>1</v>
      </c>
      <c r="AL30" s="52" t="s">
        <v>34</v>
      </c>
    </row>
    <row r="31" spans="1:38">
      <c r="A31" s="39">
        <f>A30+1</f>
        <v>29</v>
      </c>
      <c r="B31" s="40" t="s">
        <v>80</v>
      </c>
      <c r="C31" s="41">
        <v>1331</v>
      </c>
      <c r="D31" s="41">
        <v>16</v>
      </c>
      <c r="E31" s="62" t="s">
        <v>81</v>
      </c>
      <c r="F31" s="43" t="s">
        <v>82</v>
      </c>
      <c r="G31" s="44"/>
      <c r="H31" s="1">
        <f>G31+(42-L31)</f>
        <v>42</v>
      </c>
      <c r="I31" s="45"/>
      <c r="J31" s="46"/>
      <c r="K31" s="47"/>
      <c r="L31" s="47"/>
      <c r="M31" s="47"/>
      <c r="N31" s="45"/>
      <c r="O31" s="45"/>
      <c r="P31" s="45"/>
      <c r="Q31" s="48"/>
      <c r="R31" s="48">
        <f>30-K31-Q31-S31</f>
        <v>30</v>
      </c>
      <c r="S31" s="49"/>
      <c r="T31" s="45"/>
      <c r="U31" s="45"/>
      <c r="V31" s="50"/>
      <c r="W31" s="45"/>
      <c r="X31" s="45"/>
      <c r="Y31" s="51"/>
      <c r="Z31" s="45"/>
      <c r="AA31" s="45"/>
      <c r="AB31" s="52"/>
      <c r="AC31" s="52"/>
      <c r="AD31" s="45"/>
      <c r="AE31" s="45"/>
      <c r="AF31" s="52"/>
      <c r="AG31" s="45"/>
      <c r="AH31" s="46"/>
      <c r="AI31" s="53"/>
      <c r="AJ31" s="53"/>
      <c r="AK31" s="52"/>
      <c r="AL31" s="52"/>
    </row>
    <row r="32" spans="1:38">
      <c r="A32" s="39">
        <f>A31+1</f>
        <v>30</v>
      </c>
      <c r="B32" s="40" t="s">
        <v>83</v>
      </c>
      <c r="C32" s="41">
        <v>2115</v>
      </c>
      <c r="D32" s="41">
        <v>13</v>
      </c>
      <c r="E32" s="62" t="s">
        <v>84</v>
      </c>
      <c r="F32" s="43" t="s">
        <v>82</v>
      </c>
      <c r="G32" s="44"/>
      <c r="H32" s="1">
        <f>G32+(42-L32)</f>
        <v>42</v>
      </c>
      <c r="I32" s="45"/>
      <c r="J32" s="46"/>
      <c r="K32" s="47"/>
      <c r="L32" s="47"/>
      <c r="M32" s="47"/>
      <c r="N32" s="45"/>
      <c r="O32" s="45"/>
      <c r="P32" s="45"/>
      <c r="Q32" s="48"/>
      <c r="R32" s="48">
        <f>30-K32-Q32-S32</f>
        <v>30</v>
      </c>
      <c r="S32" s="49"/>
      <c r="T32" s="45"/>
      <c r="U32" s="45"/>
      <c r="V32" s="50"/>
      <c r="W32" s="45"/>
      <c r="X32" s="45"/>
      <c r="Y32" s="51"/>
      <c r="Z32" s="45"/>
      <c r="AA32" s="45"/>
      <c r="AB32" s="52"/>
      <c r="AC32" s="52"/>
      <c r="AD32" s="45"/>
      <c r="AE32" s="45"/>
      <c r="AF32" s="52"/>
      <c r="AG32" s="45"/>
      <c r="AH32" s="46"/>
      <c r="AI32" s="53"/>
      <c r="AJ32" s="53"/>
      <c r="AK32" s="52"/>
      <c r="AL32" s="52"/>
    </row>
    <row r="33" spans="1:38">
      <c r="A33" s="39">
        <f>A32+1</f>
        <v>31</v>
      </c>
      <c r="B33" s="40" t="s">
        <v>85</v>
      </c>
      <c r="C33" s="41">
        <v>1398</v>
      </c>
      <c r="D33" s="41">
        <v>16</v>
      </c>
      <c r="E33" s="63" t="s">
        <v>86</v>
      </c>
      <c r="F33" s="43" t="s">
        <v>87</v>
      </c>
      <c r="G33" s="44"/>
      <c r="H33" s="1">
        <f>G33+(42-L33)</f>
        <v>42</v>
      </c>
      <c r="I33" s="45"/>
      <c r="J33" s="46"/>
      <c r="K33" s="47"/>
      <c r="L33" s="47"/>
      <c r="M33" s="47"/>
      <c r="N33" s="45"/>
      <c r="O33" s="45"/>
      <c r="P33" s="45"/>
      <c r="Q33" s="48"/>
      <c r="R33" s="48">
        <f>30-K33-Q33-S33</f>
        <v>30</v>
      </c>
      <c r="S33" s="49"/>
      <c r="T33" s="45"/>
      <c r="U33" s="45"/>
      <c r="V33" s="50">
        <v>14</v>
      </c>
      <c r="W33" s="45">
        <v>46133</v>
      </c>
      <c r="X33" s="45">
        <v>46153</v>
      </c>
      <c r="Y33" s="51"/>
      <c r="Z33" s="45"/>
      <c r="AA33" s="45"/>
      <c r="AB33" s="52"/>
      <c r="AC33" s="52"/>
      <c r="AD33" s="45"/>
      <c r="AE33" s="45"/>
      <c r="AF33" s="52"/>
      <c r="AG33" s="45"/>
      <c r="AH33" s="46"/>
      <c r="AI33" s="53" t="s">
        <v>47</v>
      </c>
      <c r="AJ33" s="53"/>
      <c r="AK33" s="52">
        <v>1</v>
      </c>
      <c r="AL33" s="52" t="s">
        <v>88</v>
      </c>
    </row>
    <row r="34" spans="1:38">
      <c r="A34" s="39">
        <f>A33+1</f>
        <v>32</v>
      </c>
      <c r="B34" s="40" t="s">
        <v>89</v>
      </c>
      <c r="C34" s="41">
        <v>2128</v>
      </c>
      <c r="D34" s="41">
        <v>15</v>
      </c>
      <c r="E34" s="63" t="s">
        <v>90</v>
      </c>
      <c r="F34" s="43" t="s">
        <v>87</v>
      </c>
      <c r="G34" s="44">
        <v>46370</v>
      </c>
      <c r="H34" s="1">
        <f>G34+(42-L34)</f>
        <v>46412</v>
      </c>
      <c r="I34" s="45"/>
      <c r="J34" s="46"/>
      <c r="K34" s="47"/>
      <c r="L34" s="47"/>
      <c r="M34" s="47"/>
      <c r="N34" s="45"/>
      <c r="O34" s="45"/>
      <c r="P34" s="45"/>
      <c r="Q34" s="48"/>
      <c r="R34" s="48">
        <f>30-K34-Q34-S34</f>
        <v>30</v>
      </c>
      <c r="S34" s="49"/>
      <c r="T34" s="45"/>
      <c r="U34" s="45"/>
      <c r="V34" s="50"/>
      <c r="W34" s="45"/>
      <c r="X34" s="45"/>
      <c r="Y34" s="51"/>
      <c r="Z34" s="45"/>
      <c r="AA34" s="45"/>
      <c r="AB34" s="52"/>
      <c r="AC34" s="52"/>
      <c r="AD34" s="45"/>
      <c r="AE34" s="45"/>
      <c r="AF34" s="52"/>
      <c r="AG34" s="45"/>
      <c r="AH34" s="46"/>
      <c r="AI34" s="53"/>
      <c r="AJ34" s="53"/>
      <c r="AK34" s="52"/>
      <c r="AL34" s="52"/>
    </row>
    <row r="35" spans="1:38">
      <c r="A35" s="39">
        <f>A34+1</f>
        <v>33</v>
      </c>
      <c r="B35" s="40" t="s">
        <v>91</v>
      </c>
      <c r="C35" s="41">
        <v>1399</v>
      </c>
      <c r="D35" s="41">
        <v>15</v>
      </c>
      <c r="E35" s="63" t="s">
        <v>92</v>
      </c>
      <c r="F35" s="43" t="s">
        <v>87</v>
      </c>
      <c r="G35" s="44"/>
      <c r="H35" s="1">
        <f>G35+(42-L35)</f>
        <v>-46063</v>
      </c>
      <c r="I35" s="45"/>
      <c r="J35" s="46"/>
      <c r="K35" s="59">
        <v>2</v>
      </c>
      <c r="L35" s="47">
        <v>46105</v>
      </c>
      <c r="M35" s="47">
        <v>46107</v>
      </c>
      <c r="N35" s="45"/>
      <c r="O35" s="45"/>
      <c r="P35" s="45"/>
      <c r="Q35" s="48"/>
      <c r="R35" s="48">
        <f>30-K35-Q35-S35</f>
        <v>28</v>
      </c>
      <c r="S35" s="49"/>
      <c r="T35" s="45"/>
      <c r="U35" s="45"/>
      <c r="V35" s="50"/>
      <c r="W35" s="45"/>
      <c r="X35" s="45"/>
      <c r="Y35" s="51"/>
      <c r="Z35" s="45"/>
      <c r="AA35" s="45"/>
      <c r="AB35" s="52"/>
      <c r="AC35" s="52"/>
      <c r="AD35" s="45"/>
      <c r="AE35" s="45"/>
      <c r="AF35" s="52"/>
      <c r="AG35" s="45"/>
      <c r="AH35" s="46"/>
      <c r="AI35" s="53" t="s">
        <v>51</v>
      </c>
      <c r="AJ35" s="53"/>
      <c r="AK35" s="52">
        <v>1</v>
      </c>
      <c r="AL35" s="52" t="s">
        <v>34</v>
      </c>
    </row>
    <row r="36" spans="1:38">
      <c r="A36" s="39">
        <f>A35+1</f>
        <v>34</v>
      </c>
      <c r="B36" s="40" t="s">
        <v>93</v>
      </c>
      <c r="C36" s="41">
        <v>1928</v>
      </c>
      <c r="D36" s="41">
        <v>13</v>
      </c>
      <c r="E36" s="63" t="s">
        <v>94</v>
      </c>
      <c r="F36" s="43" t="s">
        <v>87</v>
      </c>
      <c r="G36" s="44"/>
      <c r="H36" s="1">
        <f>G36+(42-L36)</f>
        <v>42</v>
      </c>
      <c r="I36" s="45"/>
      <c r="J36" s="46"/>
      <c r="K36" s="47"/>
      <c r="L36" s="47"/>
      <c r="M36" s="47"/>
      <c r="N36" s="45"/>
      <c r="O36" s="45"/>
      <c r="P36" s="45"/>
      <c r="Q36" s="48"/>
      <c r="R36" s="48">
        <f>30-K36-Q36-S36</f>
        <v>30</v>
      </c>
      <c r="S36" s="49"/>
      <c r="T36" s="45"/>
      <c r="U36" s="45"/>
      <c r="V36" s="50"/>
      <c r="W36" s="45"/>
      <c r="X36" s="45"/>
      <c r="Y36" s="51"/>
      <c r="Z36" s="45"/>
      <c r="AA36" s="45"/>
      <c r="AB36" s="52"/>
      <c r="AC36" s="52"/>
      <c r="AD36" s="45"/>
      <c r="AE36" s="45"/>
      <c r="AF36" s="52"/>
      <c r="AG36" s="45"/>
      <c r="AH36" s="46"/>
      <c r="AI36" s="53"/>
      <c r="AJ36" s="53"/>
      <c r="AK36" s="52"/>
      <c r="AL36" s="52"/>
    </row>
    <row r="37" spans="1:38">
      <c r="A37" s="39">
        <f>A36+1</f>
        <v>35</v>
      </c>
      <c r="B37" s="40" t="s">
        <v>95</v>
      </c>
      <c r="C37" s="41">
        <v>1523</v>
      </c>
      <c r="D37" s="41">
        <v>15</v>
      </c>
      <c r="E37" s="64" t="s">
        <v>96</v>
      </c>
      <c r="F37" s="43" t="s">
        <v>97</v>
      </c>
      <c r="G37" s="44"/>
      <c r="H37" s="1">
        <f>G37+(42-L37)</f>
        <v>42</v>
      </c>
      <c r="I37" s="45"/>
      <c r="J37" s="46"/>
      <c r="K37" s="47"/>
      <c r="L37" s="47"/>
      <c r="M37" s="47"/>
      <c r="N37" s="45"/>
      <c r="O37" s="45"/>
      <c r="P37" s="45"/>
      <c r="Q37" s="48"/>
      <c r="R37" s="48">
        <f>30-K37-Q37-S37</f>
        <v>30</v>
      </c>
      <c r="S37" s="49"/>
      <c r="T37" s="45"/>
      <c r="U37" s="45"/>
      <c r="V37" s="50"/>
      <c r="W37" s="45"/>
      <c r="X37" s="45"/>
      <c r="Y37" s="51"/>
      <c r="Z37" s="45"/>
      <c r="AA37" s="45"/>
      <c r="AB37" s="52"/>
      <c r="AC37" s="52"/>
      <c r="AD37" s="45"/>
      <c r="AE37" s="45"/>
      <c r="AF37" s="52"/>
      <c r="AG37" s="45"/>
      <c r="AH37" s="46"/>
      <c r="AI37" s="53"/>
      <c r="AJ37" s="53"/>
      <c r="AK37" s="52"/>
      <c r="AL37" s="52"/>
    </row>
    <row r="38" spans="1:38">
      <c r="A38" s="39">
        <f>A37+1</f>
        <v>36</v>
      </c>
      <c r="B38" s="40" t="s">
        <v>98</v>
      </c>
      <c r="C38" s="41">
        <v>1412</v>
      </c>
      <c r="D38" s="41">
        <v>14</v>
      </c>
      <c r="E38" s="64" t="s">
        <v>99</v>
      </c>
      <c r="F38" s="43" t="s">
        <v>97</v>
      </c>
      <c r="G38" s="44"/>
      <c r="H38" s="1">
        <f>G38+(42-L38)</f>
        <v>-46069</v>
      </c>
      <c r="I38" s="45"/>
      <c r="J38" s="46"/>
      <c r="K38" s="59">
        <v>5</v>
      </c>
      <c r="L38" s="47">
        <v>46111</v>
      </c>
      <c r="M38" s="47">
        <v>46118</v>
      </c>
      <c r="N38" s="45"/>
      <c r="O38" s="45"/>
      <c r="P38" s="45"/>
      <c r="Q38" s="48"/>
      <c r="R38" s="48">
        <f>30-K38-Q38-S38</f>
        <v>25</v>
      </c>
      <c r="S38" s="49"/>
      <c r="T38" s="45"/>
      <c r="U38" s="45"/>
      <c r="V38" s="50"/>
      <c r="W38" s="45"/>
      <c r="X38" s="45"/>
      <c r="Y38" s="51"/>
      <c r="Z38" s="45"/>
      <c r="AA38" s="45"/>
      <c r="AB38" s="52"/>
      <c r="AC38" s="52"/>
      <c r="AD38" s="45"/>
      <c r="AE38" s="45"/>
      <c r="AF38" s="52"/>
      <c r="AG38" s="45"/>
      <c r="AH38" s="46"/>
      <c r="AI38" s="53" t="s">
        <v>51</v>
      </c>
      <c r="AJ38" s="53"/>
      <c r="AK38" s="52">
        <v>1</v>
      </c>
      <c r="AL38" s="52" t="s">
        <v>34</v>
      </c>
    </row>
    <row r="39" spans="1:38">
      <c r="A39" s="39">
        <f>A38+1</f>
        <v>37</v>
      </c>
      <c r="B39" s="40" t="s">
        <v>100</v>
      </c>
      <c r="C39" s="41">
        <v>1668</v>
      </c>
      <c r="D39" s="41">
        <v>13</v>
      </c>
      <c r="E39" s="64" t="s">
        <v>84</v>
      </c>
      <c r="F39" s="43" t="s">
        <v>97</v>
      </c>
      <c r="G39" s="44"/>
      <c r="H39" s="1">
        <f>G39+(42-L39)</f>
        <v>42</v>
      </c>
      <c r="I39" s="45"/>
      <c r="J39" s="46"/>
      <c r="K39" s="47"/>
      <c r="L39" s="47"/>
      <c r="M39" s="47"/>
      <c r="N39" s="45"/>
      <c r="O39" s="45"/>
      <c r="P39" s="45"/>
      <c r="Q39" s="48"/>
      <c r="R39" s="48">
        <f>30-K39-Q39-S39</f>
        <v>30</v>
      </c>
      <c r="S39" s="49"/>
      <c r="T39" s="45"/>
      <c r="U39" s="45"/>
      <c r="V39" s="50"/>
      <c r="W39" s="45"/>
      <c r="X39" s="45"/>
      <c r="Y39" s="51"/>
      <c r="Z39" s="45"/>
      <c r="AA39" s="45"/>
      <c r="AB39" s="52"/>
      <c r="AC39" s="52"/>
      <c r="AD39" s="45"/>
      <c r="AE39" s="45"/>
      <c r="AF39" s="52"/>
      <c r="AG39" s="45"/>
      <c r="AH39" s="46"/>
      <c r="AI39" s="53"/>
      <c r="AJ39" s="53"/>
      <c r="AK39" s="52"/>
      <c r="AL39" s="52"/>
    </row>
    <row r="40" spans="1:38">
      <c r="A40" s="39">
        <f>A39+1</f>
        <v>38</v>
      </c>
      <c r="B40" s="40" t="s">
        <v>101</v>
      </c>
      <c r="C40" s="41">
        <v>347</v>
      </c>
      <c r="D40" s="41">
        <v>13</v>
      </c>
      <c r="E40" s="64" t="s">
        <v>102</v>
      </c>
      <c r="F40" s="65" t="s">
        <v>97</v>
      </c>
      <c r="G40" s="44"/>
      <c r="H40" s="1">
        <f>G40+(42-L40)</f>
        <v>42</v>
      </c>
      <c r="I40" s="45"/>
      <c r="J40" s="46"/>
      <c r="K40" s="47"/>
      <c r="L40" s="47"/>
      <c r="M40" s="47"/>
      <c r="N40" s="45"/>
      <c r="O40" s="45"/>
      <c r="P40" s="45"/>
      <c r="Q40" s="48"/>
      <c r="R40" s="48">
        <f>30-K40-Q40-S40</f>
        <v>30</v>
      </c>
      <c r="S40" s="49"/>
      <c r="T40" s="45"/>
      <c r="U40" s="45"/>
      <c r="V40" s="50"/>
      <c r="W40" s="45"/>
      <c r="X40" s="45"/>
      <c r="Y40" s="51"/>
      <c r="Z40" s="45"/>
      <c r="AA40" s="45"/>
      <c r="AB40" s="52"/>
      <c r="AC40" s="52"/>
      <c r="AD40" s="45"/>
      <c r="AE40" s="45"/>
      <c r="AF40" s="52"/>
      <c r="AG40" s="45"/>
      <c r="AH40" s="46"/>
      <c r="AI40" s="53"/>
      <c r="AJ40" s="53"/>
      <c r="AK40" s="52"/>
      <c r="AL40" s="52"/>
    </row>
    <row r="41" spans="1:38">
      <c r="A41" s="39">
        <f>A40+1</f>
        <v>39</v>
      </c>
      <c r="B41" s="40" t="s">
        <v>103</v>
      </c>
      <c r="C41" s="41">
        <v>2260</v>
      </c>
      <c r="D41" s="41">
        <v>12</v>
      </c>
      <c r="E41" s="64" t="s">
        <v>104</v>
      </c>
      <c r="F41" s="43" t="s">
        <v>97</v>
      </c>
      <c r="G41" s="44"/>
      <c r="H41" s="1">
        <f>G41+(42-L41)</f>
        <v>42</v>
      </c>
      <c r="I41" s="45"/>
      <c r="J41" s="46"/>
      <c r="K41" s="47"/>
      <c r="L41" s="47"/>
      <c r="M41" s="47"/>
      <c r="N41" s="45"/>
      <c r="O41" s="45"/>
      <c r="P41" s="45"/>
      <c r="Q41" s="48"/>
      <c r="R41" s="48">
        <f>30-K41-Q41-S41</f>
        <v>30</v>
      </c>
      <c r="S41" s="49"/>
      <c r="T41" s="45"/>
      <c r="U41" s="45"/>
      <c r="V41" s="50"/>
      <c r="W41" s="45"/>
      <c r="X41" s="45"/>
      <c r="Y41" s="51"/>
      <c r="Z41" s="45"/>
      <c r="AA41" s="45"/>
      <c r="AB41" s="52"/>
      <c r="AC41" s="52"/>
      <c r="AD41" s="45"/>
      <c r="AE41" s="45"/>
      <c r="AF41" s="52"/>
      <c r="AG41" s="45"/>
      <c r="AH41" s="46"/>
      <c r="AI41" s="53"/>
      <c r="AJ41" s="53"/>
      <c r="AK41" s="52"/>
      <c r="AL41" s="52"/>
    </row>
    <row r="42" spans="1:38">
      <c r="A42" s="39">
        <f>A41+1</f>
        <v>40</v>
      </c>
      <c r="B42" s="57" t="s">
        <v>105</v>
      </c>
      <c r="C42" s="41">
        <v>3024</v>
      </c>
      <c r="D42" s="41">
        <v>12</v>
      </c>
      <c r="E42" s="64" t="s">
        <v>104</v>
      </c>
      <c r="F42" s="43" t="s">
        <v>97</v>
      </c>
      <c r="G42" s="44"/>
      <c r="H42" s="1">
        <f>G42+(42-L42)</f>
        <v>42</v>
      </c>
      <c r="I42" s="45"/>
      <c r="J42" s="46"/>
      <c r="K42" s="47"/>
      <c r="L42" s="47"/>
      <c r="M42" s="47"/>
      <c r="N42" s="45"/>
      <c r="O42" s="45"/>
      <c r="P42" s="45"/>
      <c r="Q42" s="48"/>
      <c r="R42" s="48">
        <f>30-K42-Q42-S42</f>
        <v>30</v>
      </c>
      <c r="S42" s="49"/>
      <c r="T42" s="45"/>
      <c r="U42" s="45"/>
      <c r="V42" s="50"/>
      <c r="W42" s="45"/>
      <c r="X42" s="45"/>
      <c r="Y42" s="51"/>
      <c r="Z42" s="45"/>
      <c r="AA42" s="45"/>
      <c r="AB42" s="52"/>
      <c r="AC42" s="52"/>
      <c r="AD42" s="45"/>
      <c r="AE42" s="45"/>
      <c r="AF42" s="52"/>
      <c r="AG42" s="45"/>
      <c r="AH42" s="46"/>
      <c r="AI42" s="53"/>
      <c r="AJ42" s="53"/>
      <c r="AK42" s="52"/>
      <c r="AL42" s="52"/>
    </row>
    <row r="43" spans="1:38">
      <c r="A43" s="39">
        <f>A42+1</f>
        <v>41</v>
      </c>
      <c r="B43" s="57" t="s">
        <v>106</v>
      </c>
      <c r="C43" s="41">
        <v>2773</v>
      </c>
      <c r="D43" s="41">
        <v>10</v>
      </c>
      <c r="E43" s="66" t="s">
        <v>107</v>
      </c>
      <c r="F43" s="43" t="s">
        <v>97</v>
      </c>
      <c r="G43" s="44"/>
      <c r="H43" s="1">
        <f>G43+(42-L43)</f>
        <v>-46085</v>
      </c>
      <c r="I43" s="45"/>
      <c r="J43" s="46"/>
      <c r="K43" s="59">
        <v>5</v>
      </c>
      <c r="L43" s="47">
        <v>46127</v>
      </c>
      <c r="M43" s="47">
        <v>46134</v>
      </c>
      <c r="N43" s="45"/>
      <c r="O43" s="45"/>
      <c r="P43" s="45"/>
      <c r="Q43" s="48"/>
      <c r="R43" s="48">
        <f>30-K43-Q43-S43</f>
        <v>25</v>
      </c>
      <c r="S43" s="49"/>
      <c r="T43" s="45"/>
      <c r="U43" s="45"/>
      <c r="V43" s="50"/>
      <c r="W43" s="45"/>
      <c r="X43" s="45"/>
      <c r="Y43" s="51"/>
      <c r="Z43" s="45"/>
      <c r="AA43" s="45"/>
      <c r="AB43" s="52"/>
      <c r="AC43" s="52"/>
      <c r="AD43" s="45"/>
      <c r="AE43" s="45"/>
      <c r="AF43" s="52"/>
      <c r="AG43" s="45"/>
      <c r="AH43" s="46"/>
      <c r="AI43" s="53" t="s">
        <v>51</v>
      </c>
      <c r="AJ43" s="53"/>
      <c r="AK43" s="52">
        <v>1</v>
      </c>
      <c r="AL43" s="52" t="s">
        <v>88</v>
      </c>
    </row>
    <row r="44" spans="1:38">
      <c r="A44" s="39">
        <f>A43+1</f>
        <v>42</v>
      </c>
      <c r="B44" s="57" t="s">
        <v>108</v>
      </c>
      <c r="C44" s="41">
        <v>2827</v>
      </c>
      <c r="D44" s="41">
        <v>10</v>
      </c>
      <c r="E44" s="66" t="s">
        <v>109</v>
      </c>
      <c r="F44" s="43" t="s">
        <v>97</v>
      </c>
      <c r="G44" s="44"/>
      <c r="H44" s="1">
        <f>G44+(42-L44)</f>
        <v>42</v>
      </c>
      <c r="I44" s="45"/>
      <c r="J44" s="46"/>
      <c r="K44" s="47"/>
      <c r="L44" s="47"/>
      <c r="M44" s="47"/>
      <c r="N44" s="45"/>
      <c r="O44" s="45"/>
      <c r="P44" s="45"/>
      <c r="Q44" s="48">
        <v>10</v>
      </c>
      <c r="R44" s="48">
        <f>30-K44-Q44-S44</f>
        <v>20</v>
      </c>
      <c r="S44" s="49"/>
      <c r="T44" s="45">
        <v>46090</v>
      </c>
      <c r="U44" s="45">
        <v>46104</v>
      </c>
      <c r="V44" s="50"/>
      <c r="W44" s="45"/>
      <c r="X44" s="45"/>
      <c r="Y44" s="51"/>
      <c r="Z44" s="45"/>
      <c r="AA44" s="45"/>
      <c r="AB44" s="52"/>
      <c r="AC44" s="52"/>
      <c r="AD44" s="45"/>
      <c r="AE44" s="45"/>
      <c r="AF44" s="52"/>
      <c r="AG44" s="45"/>
      <c r="AH44" s="46"/>
      <c r="AI44" s="53" t="s">
        <v>20</v>
      </c>
      <c r="AJ44" s="53"/>
      <c r="AK44" s="52">
        <v>1</v>
      </c>
      <c r="AL44" s="52" t="s">
        <v>34</v>
      </c>
    </row>
    <row r="45" spans="1:38">
      <c r="A45" s="39">
        <f>A44+1</f>
        <v>43</v>
      </c>
      <c r="B45" s="40" t="s">
        <v>110</v>
      </c>
      <c r="C45" s="41">
        <v>2441</v>
      </c>
      <c r="D45" s="41">
        <v>10</v>
      </c>
      <c r="E45" s="64" t="s">
        <v>107</v>
      </c>
      <c r="F45" s="43" t="s">
        <v>97</v>
      </c>
      <c r="G45" s="44"/>
      <c r="H45" s="1">
        <f>G45+(42-L45)</f>
        <v>42</v>
      </c>
      <c r="I45" s="45"/>
      <c r="J45" s="46"/>
      <c r="K45" s="47"/>
      <c r="L45" s="47"/>
      <c r="M45" s="47"/>
      <c r="N45" s="45"/>
      <c r="O45" s="45"/>
      <c r="P45" s="45"/>
      <c r="Q45" s="48"/>
      <c r="R45" s="48">
        <f>30-K45-Q45-S45</f>
        <v>30</v>
      </c>
      <c r="S45" s="49"/>
      <c r="T45" s="45"/>
      <c r="U45" s="45"/>
      <c r="V45" s="50"/>
      <c r="W45" s="45"/>
      <c r="X45" s="45"/>
      <c r="Y45" s="51"/>
      <c r="Z45" s="45"/>
      <c r="AA45" s="45"/>
      <c r="AB45" s="52"/>
      <c r="AC45" s="52"/>
      <c r="AD45" s="45"/>
      <c r="AE45" s="45"/>
      <c r="AF45" s="52"/>
      <c r="AG45" s="45"/>
      <c r="AH45" s="46"/>
      <c r="AI45" s="53"/>
      <c r="AJ45" s="53"/>
      <c r="AK45" s="52"/>
      <c r="AL45" s="52"/>
    </row>
    <row r="46" spans="1:38">
      <c r="A46" s="39">
        <f>A45+1</f>
        <v>44</v>
      </c>
      <c r="B46" s="40" t="s">
        <v>111</v>
      </c>
      <c r="C46" s="41">
        <v>2541</v>
      </c>
      <c r="D46" s="41">
        <v>10</v>
      </c>
      <c r="E46" s="64" t="s">
        <v>107</v>
      </c>
      <c r="F46" s="56" t="s">
        <v>97</v>
      </c>
      <c r="G46" s="44"/>
      <c r="H46" s="1">
        <f>G46+(42-L46)</f>
        <v>42</v>
      </c>
      <c r="I46" s="45"/>
      <c r="J46" s="46"/>
      <c r="K46" s="47"/>
      <c r="L46" s="47"/>
      <c r="M46" s="47"/>
      <c r="N46" s="45"/>
      <c r="O46" s="45"/>
      <c r="P46" s="45"/>
      <c r="Q46" s="48"/>
      <c r="R46" s="48">
        <f>30-K46-Q46-S46</f>
        <v>30</v>
      </c>
      <c r="S46" s="49"/>
      <c r="T46" s="45"/>
      <c r="U46" s="45"/>
      <c r="V46" s="50"/>
      <c r="W46" s="45"/>
      <c r="X46" s="45"/>
      <c r="Y46" s="51"/>
      <c r="Z46" s="45"/>
      <c r="AA46" s="45"/>
      <c r="AB46" s="52"/>
      <c r="AC46" s="52"/>
      <c r="AD46" s="45"/>
      <c r="AE46" s="45"/>
      <c r="AF46" s="52"/>
      <c r="AG46" s="45"/>
      <c r="AH46" s="46"/>
      <c r="AI46" s="53"/>
      <c r="AJ46" s="53"/>
      <c r="AK46" s="52"/>
      <c r="AL46" s="52"/>
    </row>
    <row r="47" spans="1:38">
      <c r="A47" s="39">
        <f>A46+1</f>
        <v>45</v>
      </c>
      <c r="B47" s="57" t="s">
        <v>112</v>
      </c>
      <c r="C47" s="41">
        <v>2761</v>
      </c>
      <c r="D47" s="41">
        <v>9</v>
      </c>
      <c r="E47" s="66" t="s">
        <v>113</v>
      </c>
      <c r="F47" s="43" t="s">
        <v>97</v>
      </c>
      <c r="G47" s="44"/>
      <c r="H47" s="1">
        <f>G47+(42-L47)</f>
        <v>-46125</v>
      </c>
      <c r="I47" s="45"/>
      <c r="J47" s="46"/>
      <c r="K47" s="59">
        <v>7</v>
      </c>
      <c r="L47" s="47">
        <v>46167</v>
      </c>
      <c r="M47" s="47">
        <v>46176</v>
      </c>
      <c r="N47" s="45"/>
      <c r="O47" s="45"/>
      <c r="P47" s="45"/>
      <c r="Q47" s="48">
        <v>15</v>
      </c>
      <c r="R47" s="48">
        <f>30-K47-Q47-S47</f>
        <v>8</v>
      </c>
      <c r="S47" s="49"/>
      <c r="T47" s="45">
        <v>46097</v>
      </c>
      <c r="U47" s="45">
        <v>46118</v>
      </c>
      <c r="V47" s="50"/>
      <c r="W47" s="45"/>
      <c r="X47" s="45"/>
      <c r="Y47" s="51"/>
      <c r="Z47" s="45"/>
      <c r="AA47" s="45"/>
      <c r="AB47" s="52"/>
      <c r="AC47" s="52"/>
      <c r="AD47" s="45"/>
      <c r="AE47" s="45"/>
      <c r="AF47" s="52"/>
      <c r="AG47" s="45"/>
      <c r="AH47" s="46"/>
      <c r="AI47" s="53" t="s">
        <v>114</v>
      </c>
      <c r="AJ47" s="53"/>
      <c r="AK47" s="52">
        <v>2</v>
      </c>
      <c r="AL47" s="52" t="s">
        <v>34</v>
      </c>
    </row>
    <row r="48" spans="1:38">
      <c r="A48" s="39">
        <f>A47+1</f>
        <v>46</v>
      </c>
      <c r="B48" s="40" t="s">
        <v>115</v>
      </c>
      <c r="C48" s="41">
        <v>2783</v>
      </c>
      <c r="D48" s="41">
        <v>9</v>
      </c>
      <c r="E48" s="64" t="s">
        <v>116</v>
      </c>
      <c r="F48" s="67" t="s">
        <v>117</v>
      </c>
      <c r="G48" s="44"/>
      <c r="H48" s="1">
        <f>G48+(42-L48)</f>
        <v>42</v>
      </c>
      <c r="I48" s="45"/>
      <c r="J48" s="46"/>
      <c r="K48" s="47"/>
      <c r="L48" s="47"/>
      <c r="M48" s="47"/>
      <c r="N48" s="45"/>
      <c r="O48" s="45"/>
      <c r="P48" s="45"/>
      <c r="Q48" s="48"/>
      <c r="R48" s="48">
        <f>30-K48-Q48-S48</f>
        <v>30</v>
      </c>
      <c r="S48" s="49"/>
      <c r="T48" s="45"/>
      <c r="U48" s="45"/>
      <c r="V48" s="50"/>
      <c r="W48" s="45"/>
      <c r="X48" s="45"/>
      <c r="Y48" s="51"/>
      <c r="Z48" s="45"/>
      <c r="AA48" s="45"/>
      <c r="AB48" s="52"/>
      <c r="AC48" s="52"/>
      <c r="AD48" s="45"/>
      <c r="AE48" s="45"/>
      <c r="AF48" s="52"/>
      <c r="AG48" s="45"/>
      <c r="AH48" s="46"/>
      <c r="AI48" s="53"/>
      <c r="AJ48" s="53"/>
      <c r="AK48" s="52"/>
      <c r="AL48" s="52"/>
    </row>
    <row r="49" spans="1:38">
      <c r="A49" s="39">
        <f>A48+1</f>
        <v>47</v>
      </c>
      <c r="B49" s="57" t="s">
        <v>118</v>
      </c>
      <c r="C49" s="41">
        <v>2864</v>
      </c>
      <c r="D49" s="41">
        <v>9</v>
      </c>
      <c r="E49" s="66" t="s">
        <v>113</v>
      </c>
      <c r="F49" s="43" t="s">
        <v>97</v>
      </c>
      <c r="G49" s="44"/>
      <c r="H49" s="1">
        <f>G49+(42-L49)</f>
        <v>42</v>
      </c>
      <c r="I49" s="45"/>
      <c r="J49" s="46"/>
      <c r="K49" s="47"/>
      <c r="L49" s="47"/>
      <c r="M49" s="47"/>
      <c r="N49" s="45"/>
      <c r="O49" s="45"/>
      <c r="P49" s="45"/>
      <c r="Q49" s="48"/>
      <c r="R49" s="48">
        <f>30-K49-Q49-S49</f>
        <v>30</v>
      </c>
      <c r="S49" s="49"/>
      <c r="T49" s="45"/>
      <c r="U49" s="45"/>
      <c r="V49" s="50"/>
      <c r="W49" s="45"/>
      <c r="X49" s="45"/>
      <c r="Y49" s="51"/>
      <c r="Z49" s="45"/>
      <c r="AA49" s="45"/>
      <c r="AB49" s="52"/>
      <c r="AC49" s="52"/>
      <c r="AD49" s="45"/>
      <c r="AE49" s="45"/>
      <c r="AF49" s="52"/>
      <c r="AG49" s="45"/>
      <c r="AH49" s="46"/>
      <c r="AI49" s="53"/>
      <c r="AJ49" s="53"/>
      <c r="AK49" s="52"/>
      <c r="AL49" s="52"/>
    </row>
    <row r="50" spans="1:38">
      <c r="A50" s="39">
        <f>A49+1</f>
        <v>48</v>
      </c>
      <c r="B50" s="57" t="s">
        <v>119</v>
      </c>
      <c r="C50" s="41">
        <v>2908</v>
      </c>
      <c r="D50" s="41">
        <v>9</v>
      </c>
      <c r="E50" s="66" t="s">
        <v>116</v>
      </c>
      <c r="F50" s="43" t="s">
        <v>97</v>
      </c>
      <c r="G50" s="44"/>
      <c r="H50" s="1">
        <f>G50+(42-L50)</f>
        <v>-46063</v>
      </c>
      <c r="I50" s="45"/>
      <c r="J50" s="46"/>
      <c r="K50" s="59">
        <v>1</v>
      </c>
      <c r="L50" s="47">
        <v>46105</v>
      </c>
      <c r="M50" s="47">
        <v>46106</v>
      </c>
      <c r="N50" s="45"/>
      <c r="O50" s="45"/>
      <c r="P50" s="45"/>
      <c r="Q50" s="48"/>
      <c r="R50" s="48">
        <f>30-K50-Q50-S50</f>
        <v>29</v>
      </c>
      <c r="S50" s="49"/>
      <c r="T50" s="45">
        <v>46163</v>
      </c>
      <c r="U50" s="45">
        <v>46204</v>
      </c>
      <c r="V50" s="50"/>
      <c r="W50" s="45"/>
      <c r="X50" s="45"/>
      <c r="Y50" s="51"/>
      <c r="Z50" s="45"/>
      <c r="AA50" s="45"/>
      <c r="AB50" s="52"/>
      <c r="AC50" s="52"/>
      <c r="AD50" s="45"/>
      <c r="AE50" s="45"/>
      <c r="AF50" s="52"/>
      <c r="AG50" s="45"/>
      <c r="AH50" s="46"/>
      <c r="AI50" s="53" t="s">
        <v>39</v>
      </c>
      <c r="AJ50" s="53" t="s">
        <v>40</v>
      </c>
      <c r="AK50" s="52">
        <v>2</v>
      </c>
      <c r="AL50" s="52" t="s">
        <v>34</v>
      </c>
    </row>
    <row r="51" spans="1:38">
      <c r="A51" s="39">
        <f>A50+1</f>
        <v>49</v>
      </c>
      <c r="B51" s="68" t="s">
        <v>120</v>
      </c>
      <c r="C51" s="69">
        <v>2532</v>
      </c>
      <c r="D51" s="69">
        <v>9</v>
      </c>
      <c r="E51" s="64" t="s">
        <v>59</v>
      </c>
      <c r="F51" s="43" t="s">
        <v>97</v>
      </c>
      <c r="G51" s="44"/>
      <c r="H51" s="1">
        <f>G51+(42-L51)</f>
        <v>42</v>
      </c>
      <c r="I51" s="45"/>
      <c r="J51" s="46"/>
      <c r="K51" s="47"/>
      <c r="L51" s="47"/>
      <c r="M51" s="47"/>
      <c r="N51" s="45"/>
      <c r="O51" s="45"/>
      <c r="P51" s="45"/>
      <c r="Q51" s="48"/>
      <c r="R51" s="48">
        <f>30-K51-Q51-S51</f>
        <v>30</v>
      </c>
      <c r="S51" s="49"/>
      <c r="T51" s="45"/>
      <c r="U51" s="45"/>
      <c r="V51" s="50"/>
      <c r="W51" s="45"/>
      <c r="X51" s="45"/>
      <c r="Y51" s="51"/>
      <c r="Z51" s="45"/>
      <c r="AA51" s="45"/>
      <c r="AB51" s="52"/>
      <c r="AC51" s="52"/>
      <c r="AD51" s="45"/>
      <c r="AE51" s="45"/>
      <c r="AF51" s="52"/>
      <c r="AG51" s="45"/>
      <c r="AH51" s="46"/>
      <c r="AI51" s="53"/>
      <c r="AJ51" s="53"/>
      <c r="AK51" s="52"/>
      <c r="AL51" s="52"/>
    </row>
    <row r="52" spans="1:38">
      <c r="A52" s="39">
        <f>A51+1</f>
        <v>50</v>
      </c>
      <c r="B52" s="70" t="s">
        <v>121</v>
      </c>
      <c r="C52" s="71">
        <v>2993</v>
      </c>
      <c r="D52" s="71">
        <v>9</v>
      </c>
      <c r="E52" s="66" t="s">
        <v>113</v>
      </c>
      <c r="F52" s="43" t="s">
        <v>97</v>
      </c>
      <c r="G52" s="44"/>
      <c r="H52" s="1">
        <f>G52+(42-L52)</f>
        <v>42</v>
      </c>
      <c r="I52" s="45"/>
      <c r="J52" s="46"/>
      <c r="K52" s="47"/>
      <c r="L52" s="47"/>
      <c r="M52" s="47"/>
      <c r="N52" s="45"/>
      <c r="O52" s="45"/>
      <c r="P52" s="45"/>
      <c r="Q52" s="48"/>
      <c r="R52" s="48">
        <f>30-K52-Q52-S52</f>
        <v>30</v>
      </c>
      <c r="S52" s="49"/>
      <c r="T52" s="45"/>
      <c r="U52" s="45"/>
      <c r="V52" s="50"/>
      <c r="W52" s="45"/>
      <c r="X52" s="45"/>
      <c r="Y52" s="51"/>
      <c r="Z52" s="45"/>
      <c r="AA52" s="45"/>
      <c r="AB52" s="52"/>
      <c r="AC52" s="52"/>
      <c r="AD52" s="45"/>
      <c r="AE52" s="45"/>
      <c r="AF52" s="52"/>
      <c r="AG52" s="45"/>
      <c r="AH52" s="46"/>
      <c r="AI52" s="53"/>
      <c r="AJ52" s="53"/>
      <c r="AK52" s="52"/>
      <c r="AL52" s="52"/>
    </row>
    <row r="53" spans="1:38">
      <c r="A53" s="39">
        <f>A52+1</f>
        <v>51</v>
      </c>
      <c r="B53" s="57" t="s">
        <v>122</v>
      </c>
      <c r="C53" s="41">
        <v>3016</v>
      </c>
      <c r="D53" s="41">
        <v>9</v>
      </c>
      <c r="E53" s="66" t="s">
        <v>113</v>
      </c>
      <c r="F53" s="43" t="s">
        <v>97</v>
      </c>
      <c r="G53" s="44"/>
      <c r="H53" s="1">
        <f>G53+(42-L53)</f>
        <v>42</v>
      </c>
      <c r="I53" s="45"/>
      <c r="J53" s="46"/>
      <c r="K53" s="47"/>
      <c r="L53" s="47"/>
      <c r="M53" s="47"/>
      <c r="N53" s="45"/>
      <c r="O53" s="45"/>
      <c r="P53" s="45"/>
      <c r="Q53" s="48"/>
      <c r="R53" s="48">
        <f>30-K53-Q53-S53</f>
        <v>30</v>
      </c>
      <c r="S53" s="49"/>
      <c r="T53" s="45"/>
      <c r="U53" s="45"/>
      <c r="V53" s="50"/>
      <c r="W53" s="45"/>
      <c r="X53" s="45"/>
      <c r="Y53" s="51"/>
      <c r="Z53" s="45"/>
      <c r="AA53" s="45"/>
      <c r="AB53" s="52"/>
      <c r="AC53" s="52"/>
      <c r="AD53" s="45"/>
      <c r="AE53" s="45"/>
      <c r="AF53" s="52"/>
      <c r="AG53" s="45"/>
      <c r="AH53" s="46"/>
      <c r="AI53" s="53"/>
      <c r="AJ53" s="53"/>
      <c r="AK53" s="52"/>
      <c r="AL53" s="52"/>
    </row>
    <row r="54" spans="1:38">
      <c r="A54" s="39">
        <f>A53+1</f>
        <v>52</v>
      </c>
      <c r="B54" s="57" t="s">
        <v>123</v>
      </c>
      <c r="C54" s="41">
        <v>3031</v>
      </c>
      <c r="D54" s="41">
        <v>9</v>
      </c>
      <c r="E54" s="64" t="s">
        <v>113</v>
      </c>
      <c r="F54" s="43" t="s">
        <v>97</v>
      </c>
      <c r="G54" s="44"/>
      <c r="H54" s="1">
        <f>G54+(42-L54)</f>
        <v>-46104</v>
      </c>
      <c r="I54" s="45"/>
      <c r="J54" s="46"/>
      <c r="K54" s="59">
        <v>5</v>
      </c>
      <c r="L54" s="47">
        <v>46146</v>
      </c>
      <c r="M54" s="47">
        <v>46153</v>
      </c>
      <c r="N54" s="45"/>
      <c r="O54" s="45"/>
      <c r="P54" s="45"/>
      <c r="Q54" s="48"/>
      <c r="R54" s="48">
        <f>30-K54-Q54-S54</f>
        <v>25</v>
      </c>
      <c r="S54" s="49"/>
      <c r="T54" s="45"/>
      <c r="U54" s="45"/>
      <c r="V54" s="50"/>
      <c r="W54" s="45"/>
      <c r="X54" s="45"/>
      <c r="Y54" s="51"/>
      <c r="Z54" s="45"/>
      <c r="AA54" s="45"/>
      <c r="AB54" s="52"/>
      <c r="AC54" s="52">
        <v>4</v>
      </c>
      <c r="AD54" s="45">
        <v>46111</v>
      </c>
      <c r="AE54" s="45">
        <v>46114</v>
      </c>
      <c r="AF54" s="52"/>
      <c r="AG54" s="45"/>
      <c r="AH54" s="46"/>
      <c r="AI54" s="53" t="s">
        <v>51</v>
      </c>
      <c r="AJ54" s="53"/>
      <c r="AK54" s="52">
        <v>1</v>
      </c>
      <c r="AL54" s="52"/>
    </row>
    <row r="55" spans="1:38">
      <c r="A55" s="39">
        <f>A54+1</f>
        <v>53</v>
      </c>
      <c r="B55" s="57" t="s">
        <v>124</v>
      </c>
      <c r="C55" s="41">
        <v>2944</v>
      </c>
      <c r="D55" s="41">
        <v>8</v>
      </c>
      <c r="E55" s="66" t="s">
        <v>75</v>
      </c>
      <c r="F55" s="43" t="s">
        <v>97</v>
      </c>
      <c r="G55" s="44"/>
      <c r="H55" s="1">
        <f>G55+(42-L55)</f>
        <v>42</v>
      </c>
      <c r="I55" s="45"/>
      <c r="J55" s="46"/>
      <c r="K55" s="47"/>
      <c r="L55" s="47"/>
      <c r="M55" s="47"/>
      <c r="N55" s="45"/>
      <c r="O55" s="45"/>
      <c r="P55" s="45"/>
      <c r="Q55" s="48"/>
      <c r="R55" s="48">
        <f>30-K55-Q55-S55</f>
        <v>30</v>
      </c>
      <c r="S55" s="49"/>
      <c r="T55" s="45"/>
      <c r="U55" s="45"/>
      <c r="V55" s="50"/>
      <c r="W55" s="45"/>
      <c r="X55" s="45"/>
      <c r="Y55" s="51"/>
      <c r="Z55" s="45"/>
      <c r="AA55" s="45"/>
      <c r="AB55" s="52"/>
      <c r="AC55" s="52"/>
      <c r="AD55" s="45"/>
      <c r="AE55" s="45"/>
      <c r="AF55" s="52"/>
      <c r="AG55" s="45"/>
      <c r="AH55" s="46"/>
      <c r="AI55" s="53"/>
      <c r="AJ55" s="53"/>
      <c r="AK55" s="52"/>
      <c r="AL55" s="52"/>
    </row>
    <row r="56" spans="1:38">
      <c r="A56" s="39">
        <f>A55+1</f>
        <v>54</v>
      </c>
      <c r="B56" s="57" t="s">
        <v>125</v>
      </c>
      <c r="C56" s="41">
        <v>2661</v>
      </c>
      <c r="D56" s="41">
        <v>7</v>
      </c>
      <c r="E56" s="66" t="s">
        <v>65</v>
      </c>
      <c r="F56" s="43" t="s">
        <v>97</v>
      </c>
      <c r="G56" s="44"/>
      <c r="H56" s="1">
        <f>G56+(42-L56)</f>
        <v>42</v>
      </c>
      <c r="I56" s="45"/>
      <c r="J56" s="46"/>
      <c r="K56" s="47"/>
      <c r="L56" s="47"/>
      <c r="M56" s="47"/>
      <c r="N56" s="45"/>
      <c r="O56" s="45"/>
      <c r="P56" s="45"/>
      <c r="Q56" s="48"/>
      <c r="R56" s="48">
        <f>30-K56-Q56-S56</f>
        <v>30</v>
      </c>
      <c r="S56" s="49"/>
      <c r="T56" s="45"/>
      <c r="U56" s="45"/>
      <c r="V56" s="50"/>
      <c r="W56" s="45"/>
      <c r="X56" s="45"/>
      <c r="Y56" s="51"/>
      <c r="Z56" s="45"/>
      <c r="AA56" s="45"/>
      <c r="AB56" s="52"/>
      <c r="AC56" s="52"/>
      <c r="AD56" s="45"/>
      <c r="AE56" s="45"/>
      <c r="AF56" s="52"/>
      <c r="AG56" s="45"/>
      <c r="AH56" s="46"/>
      <c r="AI56" s="53"/>
      <c r="AJ56" s="53"/>
      <c r="AK56" s="52"/>
      <c r="AL56" s="52"/>
    </row>
    <row r="57" spans="1:38">
      <c r="A57" s="39">
        <f>A56+1</f>
        <v>55</v>
      </c>
      <c r="B57" s="57" t="s">
        <v>126</v>
      </c>
      <c r="C57" s="41">
        <v>2675</v>
      </c>
      <c r="D57" s="41">
        <v>7</v>
      </c>
      <c r="E57" s="66" t="s">
        <v>65</v>
      </c>
      <c r="F57" s="43" t="s">
        <v>97</v>
      </c>
      <c r="G57" s="44"/>
      <c r="H57" s="1">
        <f>G57+(42-L57)</f>
        <v>42</v>
      </c>
      <c r="I57" s="45"/>
      <c r="J57" s="46"/>
      <c r="K57" s="47"/>
      <c r="L57" s="47"/>
      <c r="M57" s="47"/>
      <c r="N57" s="45"/>
      <c r="O57" s="45"/>
      <c r="P57" s="45"/>
      <c r="Q57" s="48"/>
      <c r="R57" s="48">
        <f>30-K57-Q57-S57</f>
        <v>30</v>
      </c>
      <c r="S57" s="49"/>
      <c r="T57" s="45"/>
      <c r="U57" s="45"/>
      <c r="V57" s="50"/>
      <c r="W57" s="45"/>
      <c r="X57" s="45"/>
      <c r="Y57" s="51"/>
      <c r="Z57" s="45"/>
      <c r="AA57" s="45"/>
      <c r="AB57" s="52"/>
      <c r="AC57" s="52"/>
      <c r="AD57" s="45"/>
      <c r="AE57" s="45"/>
      <c r="AF57" s="52">
        <v>5</v>
      </c>
      <c r="AG57" s="45">
        <v>46147</v>
      </c>
      <c r="AH57" s="46">
        <v>46155</v>
      </c>
      <c r="AI57" s="53" t="s">
        <v>67</v>
      </c>
      <c r="AJ57" s="53"/>
      <c r="AK57" s="52">
        <v>1</v>
      </c>
      <c r="AL57" s="52" t="s">
        <v>34</v>
      </c>
    </row>
    <row r="58" spans="1:38">
      <c r="A58" s="39">
        <f>A57+1</f>
        <v>56</v>
      </c>
      <c r="B58" s="57" t="s">
        <v>127</v>
      </c>
      <c r="C58" s="41">
        <v>2724</v>
      </c>
      <c r="D58" s="41">
        <v>7</v>
      </c>
      <c r="E58" s="66" t="s">
        <v>65</v>
      </c>
      <c r="F58" s="56" t="s">
        <v>97</v>
      </c>
      <c r="G58" s="44">
        <v>46167</v>
      </c>
      <c r="H58" s="1">
        <f>G58+(42-L58)</f>
        <v>46209</v>
      </c>
      <c r="I58" s="45"/>
      <c r="J58" s="46"/>
      <c r="K58" s="47"/>
      <c r="L58" s="47"/>
      <c r="M58" s="47"/>
      <c r="N58" s="45"/>
      <c r="O58" s="45"/>
      <c r="P58" s="45"/>
      <c r="Q58" s="48">
        <v>15</v>
      </c>
      <c r="R58" s="48">
        <f>30-K58-Q58-S58</f>
        <v>15</v>
      </c>
      <c r="S58" s="49"/>
      <c r="T58" s="45">
        <v>46167</v>
      </c>
      <c r="U58" s="45">
        <v>46188</v>
      </c>
      <c r="V58" s="50"/>
      <c r="W58" s="45"/>
      <c r="X58" s="45"/>
      <c r="Y58" s="51"/>
      <c r="Z58" s="45"/>
      <c r="AA58" s="45"/>
      <c r="AB58" s="52"/>
      <c r="AC58" s="52"/>
      <c r="AD58" s="45"/>
      <c r="AE58" s="45"/>
      <c r="AF58" s="52"/>
      <c r="AG58" s="45"/>
      <c r="AH58" s="46"/>
      <c r="AI58" s="53" t="s">
        <v>20</v>
      </c>
      <c r="AJ58" s="53"/>
      <c r="AK58" s="52">
        <v>1</v>
      </c>
      <c r="AL58" s="52" t="s">
        <v>34</v>
      </c>
    </row>
    <row r="59" spans="1:38">
      <c r="A59" s="39">
        <f>A58+1</f>
        <v>57</v>
      </c>
      <c r="B59" s="68" t="s">
        <v>128</v>
      </c>
      <c r="C59" s="69">
        <v>2927</v>
      </c>
      <c r="D59" s="69">
        <v>6</v>
      </c>
      <c r="E59" s="64" t="s">
        <v>129</v>
      </c>
      <c r="F59" s="43" t="s">
        <v>97</v>
      </c>
      <c r="G59" s="44"/>
      <c r="H59" s="1">
        <f>G59+(42-L59)</f>
        <v>42</v>
      </c>
      <c r="I59" s="45"/>
      <c r="J59" s="46"/>
      <c r="K59" s="47"/>
      <c r="L59" s="47"/>
      <c r="M59" s="47"/>
      <c r="N59" s="45"/>
      <c r="O59" s="45"/>
      <c r="P59" s="45"/>
      <c r="Q59" s="48"/>
      <c r="R59" s="48">
        <f>30-K59-Q59-S59</f>
        <v>30</v>
      </c>
      <c r="S59" s="49"/>
      <c r="T59" s="45"/>
      <c r="U59" s="45"/>
      <c r="V59" s="50"/>
      <c r="W59" s="45"/>
      <c r="X59" s="45"/>
      <c r="Y59" s="51"/>
      <c r="Z59" s="45"/>
      <c r="AA59" s="45"/>
      <c r="AB59" s="52"/>
      <c r="AC59" s="52"/>
      <c r="AD59" s="45"/>
      <c r="AE59" s="45"/>
      <c r="AF59" s="52"/>
      <c r="AG59" s="45"/>
      <c r="AH59" s="46"/>
      <c r="AI59" s="53"/>
      <c r="AJ59" s="53"/>
      <c r="AK59" s="52"/>
      <c r="AL59" s="52"/>
    </row>
    <row r="60" spans="1:38">
      <c r="A60" s="39">
        <f>A59+1</f>
        <v>58</v>
      </c>
      <c r="B60" s="40" t="s">
        <v>130</v>
      </c>
      <c r="C60" s="41">
        <v>1788</v>
      </c>
      <c r="D60" s="41">
        <v>13</v>
      </c>
      <c r="E60" s="64" t="s">
        <v>84</v>
      </c>
      <c r="F60" s="43" t="s">
        <v>131</v>
      </c>
      <c r="G60" s="44"/>
      <c r="H60" s="1">
        <f>G60+(42-L60)</f>
        <v>-46057</v>
      </c>
      <c r="I60" s="45"/>
      <c r="J60" s="46"/>
      <c r="K60" s="59">
        <v>5</v>
      </c>
      <c r="L60" s="47">
        <v>46099</v>
      </c>
      <c r="M60" s="47">
        <v>46106</v>
      </c>
      <c r="N60" s="45"/>
      <c r="O60" s="45"/>
      <c r="P60" s="45"/>
      <c r="Q60" s="48"/>
      <c r="R60" s="48">
        <f>30-K60-Q60-S60</f>
        <v>25</v>
      </c>
      <c r="S60" s="49"/>
      <c r="T60" s="45"/>
      <c r="U60" s="45"/>
      <c r="V60" s="50"/>
      <c r="W60" s="45"/>
      <c r="X60" s="45"/>
      <c r="Y60" s="51"/>
      <c r="Z60" s="45"/>
      <c r="AA60" s="45"/>
      <c r="AB60" s="52"/>
      <c r="AC60" s="52"/>
      <c r="AD60" s="45"/>
      <c r="AE60" s="45"/>
      <c r="AF60" s="52"/>
      <c r="AG60" s="45"/>
      <c r="AH60" s="46"/>
      <c r="AI60" s="53" t="s">
        <v>51</v>
      </c>
      <c r="AJ60" s="53"/>
      <c r="AK60" s="52">
        <v>1</v>
      </c>
      <c r="AL60" s="52" t="s">
        <v>34</v>
      </c>
    </row>
    <row r="61" spans="1:38">
      <c r="A61" s="39">
        <f>A60+1</f>
        <v>59</v>
      </c>
      <c r="B61" s="40" t="s">
        <v>132</v>
      </c>
      <c r="C61" s="41">
        <v>2591</v>
      </c>
      <c r="D61" s="41">
        <v>10</v>
      </c>
      <c r="E61" s="64" t="s">
        <v>133</v>
      </c>
      <c r="F61" s="43" t="s">
        <v>134</v>
      </c>
      <c r="G61" s="44"/>
      <c r="H61" s="1">
        <f>G61+(42-L61)</f>
        <v>-46024</v>
      </c>
      <c r="I61" s="45"/>
      <c r="J61" s="46"/>
      <c r="K61" s="59">
        <v>3</v>
      </c>
      <c r="L61" s="47">
        <v>46066</v>
      </c>
      <c r="M61" s="47">
        <v>46071</v>
      </c>
      <c r="N61" s="45"/>
      <c r="O61" s="45"/>
      <c r="P61" s="45"/>
      <c r="Q61" s="48"/>
      <c r="R61" s="48">
        <f>30-K61-Q61-S61</f>
        <v>27</v>
      </c>
      <c r="S61" s="49"/>
      <c r="T61" s="45"/>
      <c r="U61" s="45"/>
      <c r="V61" s="50"/>
      <c r="W61" s="45"/>
      <c r="X61" s="45"/>
      <c r="Y61" s="51"/>
      <c r="Z61" s="45"/>
      <c r="AA61" s="45"/>
      <c r="AB61" s="52"/>
      <c r="AC61" s="52"/>
      <c r="AD61" s="45"/>
      <c r="AE61" s="45"/>
      <c r="AF61" s="52"/>
      <c r="AG61" s="45"/>
      <c r="AH61" s="46"/>
      <c r="AI61" s="53" t="s">
        <v>51</v>
      </c>
      <c r="AJ61" s="53"/>
      <c r="AK61" s="52">
        <v>1</v>
      </c>
      <c r="AL61" s="52" t="s">
        <v>34</v>
      </c>
    </row>
    <row r="62" spans="1:38">
      <c r="A62" s="39">
        <f>A61+1</f>
        <v>60</v>
      </c>
      <c r="B62" s="40" t="s">
        <v>135</v>
      </c>
      <c r="C62" s="41">
        <v>642</v>
      </c>
      <c r="D62" s="41">
        <v>16</v>
      </c>
      <c r="E62" s="68" t="s">
        <v>136</v>
      </c>
      <c r="F62" s="43" t="s">
        <v>137</v>
      </c>
      <c r="G62" s="44"/>
      <c r="H62" s="1">
        <f>G62+(42-L62)</f>
        <v>42</v>
      </c>
      <c r="I62" s="45"/>
      <c r="J62" s="46"/>
      <c r="K62" s="47"/>
      <c r="L62" s="47"/>
      <c r="M62" s="47"/>
      <c r="N62" s="45"/>
      <c r="O62" s="45"/>
      <c r="P62" s="45"/>
      <c r="Q62" s="48"/>
      <c r="R62" s="48">
        <f>30-K62-Q62-S62</f>
        <v>30</v>
      </c>
      <c r="S62" s="49"/>
      <c r="T62" s="45"/>
      <c r="U62" s="45"/>
      <c r="V62" s="50"/>
      <c r="W62" s="45"/>
      <c r="X62" s="45"/>
      <c r="Y62" s="51"/>
      <c r="Z62" s="45"/>
      <c r="AA62" s="45"/>
      <c r="AB62" s="52"/>
      <c r="AC62" s="52"/>
      <c r="AD62" s="45"/>
      <c r="AE62" s="45"/>
      <c r="AF62" s="52"/>
      <c r="AG62" s="45"/>
      <c r="AH62" s="46"/>
      <c r="AI62" s="53"/>
      <c r="AJ62" s="53"/>
      <c r="AK62" s="52"/>
      <c r="AL62" s="52"/>
    </row>
    <row r="63" spans="1:38">
      <c r="A63" s="39">
        <f>A62+1</f>
        <v>61</v>
      </c>
      <c r="B63" s="40" t="s">
        <v>138</v>
      </c>
      <c r="C63" s="41">
        <v>928</v>
      </c>
      <c r="D63" s="41">
        <v>15</v>
      </c>
      <c r="E63" s="68" t="s">
        <v>139</v>
      </c>
      <c r="F63" s="43" t="s">
        <v>137</v>
      </c>
      <c r="G63" s="44">
        <v>46167</v>
      </c>
      <c r="H63" s="1">
        <f>G63+(42-L63)</f>
        <v>74</v>
      </c>
      <c r="I63" s="45"/>
      <c r="J63" s="46"/>
      <c r="K63" s="59">
        <v>2</v>
      </c>
      <c r="L63" s="47">
        <v>46135</v>
      </c>
      <c r="M63" s="47">
        <v>46139</v>
      </c>
      <c r="N63" s="45"/>
      <c r="O63" s="45"/>
      <c r="P63" s="45"/>
      <c r="Q63" s="48"/>
      <c r="R63" s="48">
        <f>30-K63-Q63-S63</f>
        <v>28</v>
      </c>
      <c r="S63" s="49"/>
      <c r="T63" s="45"/>
      <c r="U63" s="45"/>
      <c r="V63" s="50"/>
      <c r="W63" s="45"/>
      <c r="X63" s="45"/>
      <c r="Y63" s="51"/>
      <c r="Z63" s="45"/>
      <c r="AA63" s="45"/>
      <c r="AB63" s="52"/>
      <c r="AC63" s="52"/>
      <c r="AD63" s="45"/>
      <c r="AE63" s="45"/>
      <c r="AF63" s="52"/>
      <c r="AG63" s="45"/>
      <c r="AH63" s="46"/>
      <c r="AI63" s="53" t="s">
        <v>51</v>
      </c>
      <c r="AJ63" s="53"/>
      <c r="AK63" s="52">
        <v>1</v>
      </c>
      <c r="AL63" s="52" t="s">
        <v>34</v>
      </c>
    </row>
    <row r="64" spans="1:38">
      <c r="A64" s="39">
        <f>A63+1</f>
        <v>62</v>
      </c>
      <c r="B64" s="40" t="s">
        <v>140</v>
      </c>
      <c r="C64" s="41">
        <v>2068</v>
      </c>
      <c r="D64" s="41">
        <v>14</v>
      </c>
      <c r="E64" s="68" t="s">
        <v>99</v>
      </c>
      <c r="F64" s="43" t="s">
        <v>137</v>
      </c>
      <c r="G64" s="44">
        <v>46244</v>
      </c>
      <c r="H64" s="1">
        <f>G64+(42-L64)</f>
        <v>237</v>
      </c>
      <c r="I64" s="45"/>
      <c r="J64" s="46"/>
      <c r="K64" s="59">
        <v>5</v>
      </c>
      <c r="L64" s="47">
        <v>46049</v>
      </c>
      <c r="M64" s="47">
        <v>46056</v>
      </c>
      <c r="N64" s="45"/>
      <c r="O64" s="45"/>
      <c r="P64" s="45"/>
      <c r="Q64" s="48"/>
      <c r="R64" s="48">
        <f>30-K64-Q64-S64</f>
        <v>25</v>
      </c>
      <c r="S64" s="49"/>
      <c r="T64" s="45"/>
      <c r="U64" s="45"/>
      <c r="V64" s="50"/>
      <c r="W64" s="45"/>
      <c r="X64" s="45"/>
      <c r="Y64" s="51"/>
      <c r="Z64" s="45"/>
      <c r="AA64" s="45"/>
      <c r="AB64" s="52"/>
      <c r="AC64" s="52"/>
      <c r="AD64" s="45"/>
      <c r="AE64" s="45"/>
      <c r="AF64" s="52"/>
      <c r="AG64" s="45"/>
      <c r="AH64" s="46"/>
      <c r="AI64" s="53" t="s">
        <v>51</v>
      </c>
      <c r="AJ64" s="53"/>
      <c r="AK64" s="52">
        <v>1</v>
      </c>
      <c r="AL64" s="52" t="s">
        <v>88</v>
      </c>
    </row>
    <row r="65" spans="1:38">
      <c r="A65" s="39">
        <f>A64+1</f>
        <v>63</v>
      </c>
      <c r="B65" s="40" t="s">
        <v>141</v>
      </c>
      <c r="C65" s="41">
        <v>2065</v>
      </c>
      <c r="D65" s="41">
        <v>13</v>
      </c>
      <c r="E65" s="68" t="s">
        <v>84</v>
      </c>
      <c r="F65" s="43" t="s">
        <v>137</v>
      </c>
      <c r="G65" s="44">
        <v>46262</v>
      </c>
      <c r="H65" s="1">
        <f>G65+(42-L65)</f>
        <v>142</v>
      </c>
      <c r="I65" s="45"/>
      <c r="J65" s="46"/>
      <c r="K65" s="59">
        <v>3</v>
      </c>
      <c r="L65" s="47">
        <v>46162</v>
      </c>
      <c r="M65" s="47">
        <v>46167</v>
      </c>
      <c r="N65" s="45"/>
      <c r="O65" s="45"/>
      <c r="P65" s="45"/>
      <c r="Q65" s="48"/>
      <c r="R65" s="48">
        <f>30-K65-Q65-S65</f>
        <v>27</v>
      </c>
      <c r="S65" s="49"/>
      <c r="T65" s="45"/>
      <c r="U65" s="45"/>
      <c r="V65" s="50"/>
      <c r="W65" s="45"/>
      <c r="X65" s="45"/>
      <c r="Y65" s="51"/>
      <c r="Z65" s="45"/>
      <c r="AA65" s="45"/>
      <c r="AB65" s="52"/>
      <c r="AC65" s="52"/>
      <c r="AD65" s="45"/>
      <c r="AE65" s="45"/>
      <c r="AF65" s="52"/>
      <c r="AG65" s="45"/>
      <c r="AH65" s="46"/>
      <c r="AI65" s="53" t="s">
        <v>51</v>
      </c>
      <c r="AJ65" s="53"/>
      <c r="AK65" s="52">
        <v>1</v>
      </c>
      <c r="AL65" s="52" t="s">
        <v>34</v>
      </c>
    </row>
    <row r="66" spans="1:38">
      <c r="A66" s="39">
        <f>A65+1</f>
        <v>64</v>
      </c>
      <c r="B66" s="40" t="s">
        <v>142</v>
      </c>
      <c r="C66" s="41">
        <v>1675</v>
      </c>
      <c r="D66" s="41">
        <v>13</v>
      </c>
      <c r="E66" s="68" t="s">
        <v>84</v>
      </c>
      <c r="F66" s="43" t="s">
        <v>137</v>
      </c>
      <c r="G66" s="44">
        <v>46372</v>
      </c>
      <c r="H66" s="1">
        <f>G66+(42-L66)</f>
        <v>252</v>
      </c>
      <c r="I66" s="45"/>
      <c r="J66" s="46"/>
      <c r="K66" s="59">
        <v>3</v>
      </c>
      <c r="L66" s="47">
        <v>46162</v>
      </c>
      <c r="M66" s="47">
        <v>46167</v>
      </c>
      <c r="N66" s="45"/>
      <c r="O66" s="45"/>
      <c r="P66" s="45"/>
      <c r="Q66" s="48"/>
      <c r="R66" s="48">
        <f>30-K66-Q66-S66</f>
        <v>27</v>
      </c>
      <c r="S66" s="49"/>
      <c r="T66" s="45"/>
      <c r="U66" s="45"/>
      <c r="V66" s="50"/>
      <c r="W66" s="45"/>
      <c r="X66" s="45"/>
      <c r="Y66" s="51"/>
      <c r="Z66" s="45"/>
      <c r="AA66" s="45"/>
      <c r="AB66" s="52"/>
      <c r="AC66" s="52"/>
      <c r="AD66" s="45"/>
      <c r="AE66" s="45"/>
      <c r="AF66" s="52"/>
      <c r="AG66" s="45"/>
      <c r="AH66" s="46"/>
      <c r="AI66" s="53" t="s">
        <v>51</v>
      </c>
      <c r="AJ66" s="53"/>
      <c r="AK66" s="52">
        <v>1</v>
      </c>
      <c r="AL66" s="52" t="s">
        <v>34</v>
      </c>
    </row>
    <row r="67" spans="1:38">
      <c r="A67" s="39">
        <f>A66+1</f>
        <v>65</v>
      </c>
      <c r="B67" s="40" t="s">
        <v>143</v>
      </c>
      <c r="C67" s="41">
        <v>2609</v>
      </c>
      <c r="D67" s="41">
        <v>12</v>
      </c>
      <c r="E67" s="68" t="s">
        <v>144</v>
      </c>
      <c r="F67" s="43" t="s">
        <v>137</v>
      </c>
      <c r="G67" s="44">
        <v>46251</v>
      </c>
      <c r="H67" s="1">
        <f>G67+(42-L67)</f>
        <v>202</v>
      </c>
      <c r="I67" s="45"/>
      <c r="J67" s="46"/>
      <c r="K67" s="59">
        <v>7</v>
      </c>
      <c r="L67" s="47">
        <v>46091</v>
      </c>
      <c r="M67" s="47">
        <v>46100</v>
      </c>
      <c r="N67" s="45"/>
      <c r="O67" s="45"/>
      <c r="P67" s="45"/>
      <c r="Q67" s="48"/>
      <c r="R67" s="48">
        <f>30-K67-Q67-S67</f>
        <v>23</v>
      </c>
      <c r="S67" s="49"/>
      <c r="T67" s="45"/>
      <c r="U67" s="45"/>
      <c r="V67" s="50"/>
      <c r="W67" s="45"/>
      <c r="X67" s="45"/>
      <c r="Y67" s="51"/>
      <c r="Z67" s="45"/>
      <c r="AA67" s="45"/>
      <c r="AB67" s="52"/>
      <c r="AC67" s="52"/>
      <c r="AD67" s="45"/>
      <c r="AE67" s="45"/>
      <c r="AF67" s="52"/>
      <c r="AG67" s="45"/>
      <c r="AH67" s="46"/>
      <c r="AI67" s="53" t="s">
        <v>51</v>
      </c>
      <c r="AJ67" s="53"/>
      <c r="AK67" s="52">
        <v>1</v>
      </c>
      <c r="AL67" s="52" t="s">
        <v>88</v>
      </c>
    </row>
    <row r="68" spans="1:38">
      <c r="A68" s="39">
        <f>A67+1</f>
        <v>66</v>
      </c>
      <c r="B68" s="63" t="s">
        <v>145</v>
      </c>
      <c r="C68" s="71">
        <v>2042</v>
      </c>
      <c r="D68" s="71">
        <v>12</v>
      </c>
      <c r="E68" s="68" t="s">
        <v>146</v>
      </c>
      <c r="F68" s="43" t="s">
        <v>137</v>
      </c>
      <c r="G68" s="44"/>
      <c r="H68" s="1">
        <f>G68+(42-L68)</f>
        <v>42</v>
      </c>
      <c r="I68" s="45"/>
      <c r="J68" s="46"/>
      <c r="K68" s="47"/>
      <c r="L68" s="47"/>
      <c r="M68" s="47"/>
      <c r="N68" s="45"/>
      <c r="O68" s="45"/>
      <c r="P68" s="45"/>
      <c r="Q68" s="48"/>
      <c r="R68" s="48">
        <f>30-K68-Q68-S68</f>
        <v>30</v>
      </c>
      <c r="S68" s="49"/>
      <c r="T68" s="45"/>
      <c r="U68" s="45"/>
      <c r="V68" s="50"/>
      <c r="W68" s="45"/>
      <c r="X68" s="45"/>
      <c r="Y68" s="51"/>
      <c r="Z68" s="45"/>
      <c r="AA68" s="45"/>
      <c r="AB68" s="52"/>
      <c r="AC68" s="52"/>
      <c r="AD68" s="45"/>
      <c r="AE68" s="45"/>
      <c r="AF68" s="52"/>
      <c r="AG68" s="45"/>
      <c r="AH68" s="46"/>
      <c r="AI68" s="53"/>
      <c r="AJ68" s="53"/>
      <c r="AK68" s="52"/>
      <c r="AL68" s="52"/>
    </row>
    <row r="69" spans="1:38">
      <c r="A69" s="39">
        <f>A68+1</f>
        <v>67</v>
      </c>
      <c r="B69" s="40" t="s">
        <v>147</v>
      </c>
      <c r="C69" s="41">
        <v>2324</v>
      </c>
      <c r="D69" s="41">
        <v>12</v>
      </c>
      <c r="E69" s="68" t="s">
        <v>146</v>
      </c>
      <c r="F69" s="43" t="s">
        <v>137</v>
      </c>
      <c r="G69" s="44">
        <v>46386</v>
      </c>
      <c r="H69" s="1">
        <f>G69+(42-L69)</f>
        <v>315</v>
      </c>
      <c r="I69" s="45"/>
      <c r="J69" s="46"/>
      <c r="K69" s="59">
        <v>4</v>
      </c>
      <c r="L69" s="47">
        <v>46113</v>
      </c>
      <c r="M69" s="47">
        <v>46119</v>
      </c>
      <c r="N69" s="45"/>
      <c r="O69" s="45"/>
      <c r="P69" s="45"/>
      <c r="Q69" s="48"/>
      <c r="R69" s="48">
        <f>30-K69-Q69-S69</f>
        <v>26</v>
      </c>
      <c r="S69" s="49"/>
      <c r="T69" s="45"/>
      <c r="U69" s="45"/>
      <c r="V69" s="50"/>
      <c r="W69" s="45"/>
      <c r="X69" s="45"/>
      <c r="Y69" s="51"/>
      <c r="Z69" s="45"/>
      <c r="AA69" s="45"/>
      <c r="AB69" s="52"/>
      <c r="AC69" s="52"/>
      <c r="AD69" s="45"/>
      <c r="AE69" s="45"/>
      <c r="AF69" s="52"/>
      <c r="AG69" s="45"/>
      <c r="AH69" s="46"/>
      <c r="AI69" s="53" t="s">
        <v>51</v>
      </c>
      <c r="AJ69" s="53"/>
      <c r="AK69" s="52">
        <v>1</v>
      </c>
      <c r="AL69" s="52"/>
    </row>
    <row r="70" spans="1:38">
      <c r="A70" s="39">
        <f>A69+1</f>
        <v>68</v>
      </c>
      <c r="B70" s="57" t="s">
        <v>148</v>
      </c>
      <c r="C70" s="41">
        <v>2980</v>
      </c>
      <c r="D70" s="41">
        <v>10</v>
      </c>
      <c r="E70" s="72" t="s">
        <v>107</v>
      </c>
      <c r="F70" s="43" t="s">
        <v>137</v>
      </c>
      <c r="G70" s="44">
        <v>46272</v>
      </c>
      <c r="H70" s="1">
        <f>G70+(42-L70)</f>
        <v>250</v>
      </c>
      <c r="I70" s="45"/>
      <c r="J70" s="46"/>
      <c r="K70" s="59">
        <v>3</v>
      </c>
      <c r="L70" s="47">
        <v>46064</v>
      </c>
      <c r="M70" s="47">
        <v>46069</v>
      </c>
      <c r="N70" s="45"/>
      <c r="O70" s="45"/>
      <c r="P70" s="45"/>
      <c r="Q70" s="48"/>
      <c r="R70" s="48">
        <f>30-K70-Q70-S70</f>
        <v>27</v>
      </c>
      <c r="S70" s="49"/>
      <c r="T70" s="45"/>
      <c r="U70" s="45"/>
      <c r="V70" s="50"/>
      <c r="W70" s="45"/>
      <c r="X70" s="45"/>
      <c r="Y70" s="51">
        <v>14</v>
      </c>
      <c r="Z70" s="45">
        <v>46087</v>
      </c>
      <c r="AA70" s="45">
        <v>46107</v>
      </c>
      <c r="AB70" s="52"/>
      <c r="AC70" s="52"/>
      <c r="AD70" s="45"/>
      <c r="AE70" s="45"/>
      <c r="AF70" s="52"/>
      <c r="AG70" s="45"/>
      <c r="AH70" s="46"/>
      <c r="AI70" s="53" t="s">
        <v>51</v>
      </c>
      <c r="AJ70" s="53"/>
      <c r="AK70" s="52">
        <v>2</v>
      </c>
      <c r="AL70" s="52" t="s">
        <v>34</v>
      </c>
    </row>
    <row r="71" spans="1:38">
      <c r="A71" s="39">
        <f>A70+1</f>
        <v>69</v>
      </c>
      <c r="B71" s="73" t="s">
        <v>149</v>
      </c>
      <c r="C71" s="74">
        <v>2574</v>
      </c>
      <c r="D71" s="74">
        <v>10</v>
      </c>
      <c r="E71" s="68" t="s">
        <v>107</v>
      </c>
      <c r="F71" s="56" t="s">
        <v>137</v>
      </c>
      <c r="G71" s="44"/>
      <c r="H71" s="1">
        <f>G71+(42-L71)</f>
        <v>42</v>
      </c>
      <c r="I71" s="45"/>
      <c r="J71" s="46"/>
      <c r="K71" s="47"/>
      <c r="L71" s="47"/>
      <c r="M71" s="47"/>
      <c r="N71" s="45"/>
      <c r="O71" s="45"/>
      <c r="P71" s="45"/>
      <c r="Q71" s="48"/>
      <c r="R71" s="48">
        <f>30-K71-Q71-S71</f>
        <v>30</v>
      </c>
      <c r="S71" s="49"/>
      <c r="T71" s="45"/>
      <c r="U71" s="45"/>
      <c r="V71" s="50"/>
      <c r="W71" s="45"/>
      <c r="X71" s="45"/>
      <c r="Y71" s="51"/>
      <c r="Z71" s="45"/>
      <c r="AA71" s="45"/>
      <c r="AB71" s="52"/>
      <c r="AC71" s="52"/>
      <c r="AD71" s="45"/>
      <c r="AE71" s="45"/>
      <c r="AF71" s="52"/>
      <c r="AG71" s="45"/>
      <c r="AH71" s="46"/>
      <c r="AI71" s="53"/>
      <c r="AJ71" s="53"/>
      <c r="AK71" s="52"/>
      <c r="AL71" s="52"/>
    </row>
    <row r="72" spans="1:38">
      <c r="A72" s="39">
        <f>A71+1</f>
        <v>70</v>
      </c>
      <c r="B72" s="40" t="s">
        <v>150</v>
      </c>
      <c r="C72" s="41">
        <v>2586</v>
      </c>
      <c r="D72" s="41">
        <v>9</v>
      </c>
      <c r="E72" s="68" t="s">
        <v>113</v>
      </c>
      <c r="F72" s="43" t="s">
        <v>137</v>
      </c>
      <c r="G72" s="44">
        <v>46357</v>
      </c>
      <c r="H72" s="1">
        <f>G72+(42-L72)</f>
        <v>46399</v>
      </c>
      <c r="I72" s="45"/>
      <c r="J72" s="46"/>
      <c r="K72" s="47"/>
      <c r="L72" s="47"/>
      <c r="M72" s="47"/>
      <c r="N72" s="45"/>
      <c r="O72" s="45"/>
      <c r="P72" s="45"/>
      <c r="Q72" s="48"/>
      <c r="R72" s="48">
        <f>30-K72-Q72-S72</f>
        <v>30</v>
      </c>
      <c r="S72" s="49"/>
      <c r="T72" s="45"/>
      <c r="U72" s="45"/>
      <c r="V72" s="50"/>
      <c r="W72" s="45"/>
      <c r="X72" s="45"/>
      <c r="Y72" s="51"/>
      <c r="Z72" s="45"/>
      <c r="AA72" s="45"/>
      <c r="AB72" s="52"/>
      <c r="AC72" s="52"/>
      <c r="AD72" s="45"/>
      <c r="AE72" s="45"/>
      <c r="AF72" s="52"/>
      <c r="AG72" s="45"/>
      <c r="AH72" s="46"/>
      <c r="AI72" s="53"/>
      <c r="AJ72" s="53"/>
      <c r="AK72" s="52"/>
      <c r="AL72" s="52"/>
    </row>
    <row r="73" spans="1:38">
      <c r="A73" s="39">
        <f>A72+1</f>
        <v>71</v>
      </c>
      <c r="B73" s="68" t="s">
        <v>151</v>
      </c>
      <c r="C73" s="69">
        <v>2483</v>
      </c>
      <c r="D73" s="69">
        <v>9</v>
      </c>
      <c r="E73" s="68" t="s">
        <v>113</v>
      </c>
      <c r="F73" s="43" t="s">
        <v>137</v>
      </c>
      <c r="G73" s="44"/>
      <c r="H73" s="1">
        <f>G73+(42-L73)</f>
        <v>42</v>
      </c>
      <c r="I73" s="45"/>
      <c r="J73" s="46"/>
      <c r="K73" s="47"/>
      <c r="L73" s="47"/>
      <c r="M73" s="47"/>
      <c r="N73" s="45"/>
      <c r="O73" s="45"/>
      <c r="P73" s="45"/>
      <c r="Q73" s="48"/>
      <c r="R73" s="48">
        <f>30-K73-Q73-S73</f>
        <v>30</v>
      </c>
      <c r="S73" s="49"/>
      <c r="T73" s="45"/>
      <c r="U73" s="45"/>
      <c r="V73" s="50"/>
      <c r="W73" s="45"/>
      <c r="X73" s="45"/>
      <c r="Y73" s="51"/>
      <c r="Z73" s="45"/>
      <c r="AA73" s="45"/>
      <c r="AB73" s="52"/>
      <c r="AC73" s="52"/>
      <c r="AD73" s="45"/>
      <c r="AE73" s="45"/>
      <c r="AF73" s="52"/>
      <c r="AG73" s="45"/>
      <c r="AH73" s="46"/>
      <c r="AI73" s="53"/>
      <c r="AJ73" s="53"/>
      <c r="AK73" s="52"/>
      <c r="AL73" s="52"/>
    </row>
    <row r="74" spans="1:38">
      <c r="A74" s="39">
        <f>A73+1</f>
        <v>72</v>
      </c>
      <c r="B74" s="40" t="s">
        <v>152</v>
      </c>
      <c r="C74" s="41">
        <v>3033</v>
      </c>
      <c r="D74" s="41">
        <v>9</v>
      </c>
      <c r="E74" s="68" t="s">
        <v>113</v>
      </c>
      <c r="F74" s="56" t="s">
        <v>137</v>
      </c>
      <c r="G74" s="44">
        <v>46090</v>
      </c>
      <c r="H74" s="1">
        <f>G74+(42-L74)</f>
        <v>-21</v>
      </c>
      <c r="I74" s="45"/>
      <c r="J74" s="46"/>
      <c r="K74" s="59">
        <v>7</v>
      </c>
      <c r="L74" s="47">
        <v>46153</v>
      </c>
      <c r="M74" s="47">
        <v>46160</v>
      </c>
      <c r="N74" s="45"/>
      <c r="O74" s="45"/>
      <c r="P74" s="45"/>
      <c r="Q74" s="48"/>
      <c r="R74" s="48">
        <f>30-K74-Q74-S74</f>
        <v>23</v>
      </c>
      <c r="S74" s="49"/>
      <c r="T74" s="45"/>
      <c r="U74" s="45"/>
      <c r="V74" s="50"/>
      <c r="W74" s="45"/>
      <c r="X74" s="45"/>
      <c r="Y74" s="51"/>
      <c r="Z74" s="45"/>
      <c r="AA74" s="45"/>
      <c r="AB74" s="52"/>
      <c r="AC74" s="52"/>
      <c r="AD74" s="45"/>
      <c r="AE74" s="45"/>
      <c r="AF74" s="52"/>
      <c r="AG74" s="45"/>
      <c r="AH74" s="46"/>
      <c r="AI74" s="53" t="s">
        <v>51</v>
      </c>
      <c r="AJ74" s="53"/>
      <c r="AK74" s="52">
        <v>2</v>
      </c>
      <c r="AL74" s="52" t="s">
        <v>34</v>
      </c>
    </row>
    <row r="75" spans="1:38">
      <c r="A75" s="39">
        <f>A74+1</f>
        <v>73</v>
      </c>
      <c r="B75" s="57" t="s">
        <v>153</v>
      </c>
      <c r="C75" s="41">
        <v>2766</v>
      </c>
      <c r="D75" s="41">
        <v>8</v>
      </c>
      <c r="E75" s="72" t="s">
        <v>75</v>
      </c>
      <c r="F75" s="43" t="s">
        <v>137</v>
      </c>
      <c r="G75" s="44">
        <v>46272</v>
      </c>
      <c r="H75" s="1">
        <f>G75+(42-L75)</f>
        <v>46314</v>
      </c>
      <c r="I75" s="45"/>
      <c r="J75" s="46"/>
      <c r="K75" s="47"/>
      <c r="L75" s="47"/>
      <c r="M75" s="47"/>
      <c r="N75" s="45"/>
      <c r="O75" s="45"/>
      <c r="P75" s="45"/>
      <c r="Q75" s="48"/>
      <c r="R75" s="48">
        <f>30-K75-Q75-S75</f>
        <v>30</v>
      </c>
      <c r="S75" s="49"/>
      <c r="T75" s="45"/>
      <c r="U75" s="45"/>
      <c r="V75" s="50"/>
      <c r="W75" s="45"/>
      <c r="X75" s="45"/>
      <c r="Y75" s="51"/>
      <c r="Z75" s="45"/>
      <c r="AA75" s="45"/>
      <c r="AB75" s="52"/>
      <c r="AC75" s="52">
        <v>7</v>
      </c>
      <c r="AD75" s="45">
        <v>46119</v>
      </c>
      <c r="AE75" s="45">
        <v>46125</v>
      </c>
      <c r="AF75" s="52"/>
      <c r="AG75" s="45"/>
      <c r="AH75" s="46"/>
      <c r="AI75" s="53" t="s">
        <v>154</v>
      </c>
      <c r="AJ75" s="53"/>
      <c r="AK75" s="52">
        <v>1</v>
      </c>
      <c r="AL75" s="52"/>
    </row>
    <row r="76" spans="1:38">
      <c r="A76" s="39">
        <f>A75+1</f>
        <v>74</v>
      </c>
      <c r="B76" s="57" t="s">
        <v>155</v>
      </c>
      <c r="C76" s="41">
        <v>2797</v>
      </c>
      <c r="D76" s="41">
        <v>8</v>
      </c>
      <c r="E76" s="72" t="s">
        <v>75</v>
      </c>
      <c r="F76" s="43" t="s">
        <v>137</v>
      </c>
      <c r="G76" s="44"/>
      <c r="H76" s="1">
        <f>G76+(42-L76)</f>
        <v>-46111</v>
      </c>
      <c r="I76" s="45"/>
      <c r="J76" s="46"/>
      <c r="K76" s="59">
        <v>3</v>
      </c>
      <c r="L76" s="47">
        <v>46153</v>
      </c>
      <c r="M76" s="47">
        <v>46156</v>
      </c>
      <c r="N76" s="45"/>
      <c r="O76" s="45"/>
      <c r="P76" s="45"/>
      <c r="Q76" s="48"/>
      <c r="R76" s="48">
        <f>30-K76-Q76-S76</f>
        <v>27</v>
      </c>
      <c r="S76" s="49"/>
      <c r="T76" s="45"/>
      <c r="U76" s="45"/>
      <c r="V76" s="50"/>
      <c r="W76" s="45"/>
      <c r="X76" s="45"/>
      <c r="Y76" s="51"/>
      <c r="Z76" s="45"/>
      <c r="AA76" s="45"/>
      <c r="AB76" s="52"/>
      <c r="AC76" s="52"/>
      <c r="AD76" s="45"/>
      <c r="AE76" s="45"/>
      <c r="AF76" s="52"/>
      <c r="AG76" s="45"/>
      <c r="AH76" s="46"/>
      <c r="AI76" s="53" t="s">
        <v>51</v>
      </c>
      <c r="AJ76" s="53"/>
      <c r="AK76" s="52">
        <v>1</v>
      </c>
      <c r="AL76" s="52" t="s">
        <v>34</v>
      </c>
    </row>
    <row r="77" spans="1:38">
      <c r="A77" s="39">
        <f>A76+1</f>
        <v>75</v>
      </c>
      <c r="B77" s="57" t="s">
        <v>156</v>
      </c>
      <c r="C77" s="41">
        <v>2931</v>
      </c>
      <c r="D77" s="41">
        <v>8</v>
      </c>
      <c r="E77" s="72" t="s">
        <v>75</v>
      </c>
      <c r="F77" s="43" t="s">
        <v>137</v>
      </c>
      <c r="G77" s="44">
        <v>46174</v>
      </c>
      <c r="H77" s="1">
        <f>G77+(42-L77)</f>
        <v>46216</v>
      </c>
      <c r="I77" s="45"/>
      <c r="J77" s="46"/>
      <c r="K77" s="47"/>
      <c r="L77" s="47"/>
      <c r="M77" s="47"/>
      <c r="N77" s="45"/>
      <c r="O77" s="45"/>
      <c r="P77" s="45"/>
      <c r="Q77" s="48"/>
      <c r="R77" s="48">
        <f>30-K77-Q77-S77</f>
        <v>30</v>
      </c>
      <c r="S77" s="49"/>
      <c r="T77" s="45"/>
      <c r="U77" s="45"/>
      <c r="V77" s="50"/>
      <c r="W77" s="45"/>
      <c r="X77" s="45"/>
      <c r="Y77" s="51"/>
      <c r="Z77" s="45"/>
      <c r="AA77" s="45"/>
      <c r="AB77" s="52"/>
      <c r="AC77" s="52"/>
      <c r="AD77" s="45"/>
      <c r="AE77" s="45"/>
      <c r="AF77" s="52"/>
      <c r="AG77" s="45"/>
      <c r="AH77" s="46"/>
      <c r="AI77" s="53"/>
      <c r="AJ77" s="53"/>
      <c r="AK77" s="52"/>
      <c r="AL77" s="52"/>
    </row>
    <row r="78" spans="1:38">
      <c r="A78" s="39">
        <f>A77+1</f>
        <v>76</v>
      </c>
      <c r="B78" s="57" t="s">
        <v>157</v>
      </c>
      <c r="C78" s="41">
        <v>2719</v>
      </c>
      <c r="D78" s="41">
        <v>7</v>
      </c>
      <c r="E78" s="72" t="s">
        <v>65</v>
      </c>
      <c r="F78" s="43" t="s">
        <v>137</v>
      </c>
      <c r="G78" s="44">
        <v>46297</v>
      </c>
      <c r="H78" s="1">
        <f>G78+(42-L78)</f>
        <v>46339</v>
      </c>
      <c r="I78" s="45"/>
      <c r="J78" s="46"/>
      <c r="K78" s="59"/>
      <c r="L78" s="47"/>
      <c r="M78" s="47"/>
      <c r="N78" s="45"/>
      <c r="O78" s="45"/>
      <c r="P78" s="45"/>
      <c r="Q78" s="48"/>
      <c r="R78" s="48">
        <f>30-K78-Q78-S78</f>
        <v>30</v>
      </c>
      <c r="S78" s="49"/>
      <c r="T78" s="45"/>
      <c r="U78" s="45"/>
      <c r="V78" s="50"/>
      <c r="W78" s="45"/>
      <c r="X78" s="45"/>
      <c r="Y78" s="51"/>
      <c r="Z78" s="45"/>
      <c r="AA78" s="45"/>
      <c r="AB78" s="52"/>
      <c r="AC78" s="52"/>
      <c r="AD78" s="45"/>
      <c r="AE78" s="45"/>
      <c r="AF78" s="52"/>
      <c r="AG78" s="45"/>
      <c r="AH78" s="46"/>
      <c r="AI78" s="53" t="s">
        <v>51</v>
      </c>
      <c r="AJ78" s="53"/>
      <c r="AK78" s="52">
        <v>1</v>
      </c>
      <c r="AL78" s="52" t="s">
        <v>34</v>
      </c>
    </row>
  </sheetData>
  <mergeCells count="8">
    <mergeCell ref="AI1:AJ1"/>
    <mergeCell ref="I1:J1"/>
    <mergeCell ref="K1:M1"/>
    <mergeCell ref="N1:P1"/>
    <mergeCell ref="W1:X1"/>
    <mergeCell ref="Y1:AA1"/>
    <mergeCell ref="AD1:AE1"/>
    <mergeCell ref="AG1:AH1"/>
  </mergeCells>
  <conditionalFormatting sqref="H3:H78">
    <cfRule type="notContainsBlanks" dxfId="1" priority="1">
      <formula>LEN(TRIM(H3))&gt;0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2026-05-19T04:44:03Z</dcterms:created>
  <dcterms:modified xsi:type="dcterms:W3CDTF">2026-05-19T05:42:13Z</dcterms:modified>
</cp:coreProperties>
</file>